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wsl.localhost\Ubuntu\home\kawagishi-yuya\共通資材構築\eis\docs\requirement_analysis\"/>
    </mc:Choice>
  </mc:AlternateContent>
  <xr:revisionPtr revIDLastSave="0" documentId="13_ncr:1_{8D502749-A128-4BEF-9876-2679845EF219}" xr6:coauthVersionLast="47" xr6:coauthVersionMax="47" xr10:uidLastSave="{00000000-0000-0000-0000-000000000000}"/>
  <bookViews>
    <workbookView xWindow="-110" yWindow="-110" windowWidth="19420" windowHeight="10300" firstSheet="3" activeTab="5" xr2:uid="{B44E0B82-BE9C-4E5E-A64F-50E99E7012CF}"/>
  </bookViews>
  <sheets>
    <sheet name="ファイル命名規則" sheetId="7" r:id="rId1"/>
    <sheet name="要件定義（手入力 メタデータ項目リスト）" sheetId="3" r:id="rId2"/>
    <sheet name="要件定義（構造化 メタデータ項目リスト）" sheetId="2" r:id="rId3"/>
    <sheet name="要件定義（構造化詳細）" sheetId="8" r:id="rId4"/>
    <sheet name="要件定義（設定ファイル）" sheetId="4" r:id="rId5"/>
    <sheet name="改版履歴" sheetId="5" r:id="rId6"/>
  </sheets>
  <externalReferences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cell" localSheetId="3">[1]Sheet2!$B$2:$B$3</definedName>
    <definedName name="cell">[2]Sheet2!$B$2:$B$3</definedName>
    <definedName name="ComputationalMethods" localSheetId="3">'[3]Computational methods'!$B$3:$B$20</definedName>
    <definedName name="ComputationalMethods">'[4]Computational methods'!$B$3:$B$20</definedName>
    <definedName name="data_origin" localSheetId="3">'[3]data origin'!$B$2:$B$6</definedName>
    <definedName name="data_origin">'[4]data origin'!$B$2:$B$6</definedName>
    <definedName name="DisclosureCategory" localSheetId="3">[3]mandatory_item!$C$54:$C$57</definedName>
    <definedName name="DisclosureCategory">[4]mandatory_item!$C$54:$C$57</definedName>
    <definedName name="measurement_processing_category" localSheetId="3">'[3]Characterization&amp;Process'!$B$27:$AD$27</definedName>
    <definedName name="measurement_processing_category">'[4]Characterization&amp;Process'!$B$27:$AD$27</definedName>
    <definedName name="ProcessingEnvironment" localSheetId="3">'[3]Synthesis and processing'!$F$112:$F$120</definedName>
    <definedName name="ProcessingEnvironment">'[4]Synthesis and processing'!$F$112:$F$120</definedName>
    <definedName name="PropertiesAddressed" localSheetId="3">'[3]Properties addressed'!$I$1:$X$1</definedName>
    <definedName name="PropertiesAddressed">'[4]Properties addressed'!$I$1:$X$1</definedName>
    <definedName name="RDE利用の目的" localSheetId="3">#REF!</definedName>
    <definedName name="RDE利用の目的">#REF!</definedName>
    <definedName name="RDE利用の目的２" localSheetId="3">#REF!</definedName>
    <definedName name="RDE利用の目的２">#REF!</definedName>
    <definedName name="SynthesisProcessing" localSheetId="3">'[3]Synthesis and processing'!$I$1:$T$1</definedName>
    <definedName name="SynthesisProcessing">'[4]Synthesis and processing'!$I$1:$T$1</definedName>
    <definedName name="技術分類" localSheetId="3">'[5]Characterization methods'!$J$24:$Z$24</definedName>
    <definedName name="技術分類">'[6]Characterization methods'!$J$24:$Z$24</definedName>
    <definedName name="計算手法" localSheetId="3">'[3]Computational methods'!$E$3:$E$20</definedName>
    <definedName name="計算手法">'[4]Computational methods'!$E$3:$E$20</definedName>
    <definedName name="計測技術分類" localSheetId="3">'[5]Characterization methods'!$J$24:$Z$24</definedName>
    <definedName name="計測技術分類">'[6]Characterization methods'!$J$24:$Z$24</definedName>
    <definedName name="構造的特徴" localSheetId="3">'[5]Structural features'!$I$25:$Q$25</definedName>
    <definedName name="構造的特徴">'[6]Structural features'!$I$25:$Q$25</definedName>
    <definedName name="合成・プロセス" localSheetId="3">'[3]Synthesis and processing'!$I$22:$T$22</definedName>
    <definedName name="合成・プロセス">'[4]Synthesis and processing'!$I$22:$T$22</definedName>
    <definedName name="処理環境" localSheetId="3">'[3]Synthesis and processing'!$G$112:$G$120</definedName>
    <definedName name="処理環境">'[4]Synthesis and processing'!$G$112:$G$120</definedName>
    <definedName name="測定環境" localSheetId="3">'[5]Characterization methods'!$G$118:$G$126</definedName>
    <definedName name="測定環境">'[6]Characterization methods'!$G$118:$G$126</definedName>
    <definedName name="特徴的性質" localSheetId="3">'[3]Properties addressed'!$I$28:$X$28</definedName>
    <definedName name="特徴的性質">'[4]Properties addressed'!$I$28:$X$28</definedName>
    <definedName name="物質タイプ" localSheetId="3">'[5]Material types'!$J$17:$T$17</definedName>
    <definedName name="物質タイプ">'[6]Material types'!$J$17:$T$17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4" i="3" l="1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39" i="3"/>
  <c r="C38" i="3"/>
  <c r="C37" i="3"/>
  <c r="C36" i="3"/>
  <c r="C35" i="3"/>
  <c r="C34" i="3"/>
  <c r="C33" i="3"/>
  <c r="C32" i="3"/>
  <c r="C31" i="3"/>
  <c r="C30" i="3"/>
  <c r="C29" i="3"/>
  <c r="C28" i="3"/>
  <c r="C10" i="3"/>
  <c r="C9" i="3"/>
  <c r="C8" i="3"/>
  <c r="C7" i="3"/>
  <c r="C6" i="3"/>
  <c r="C5" i="3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</futureMetadata>
  <valueMetadata count="1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</valueMetadata>
</metadata>
</file>

<file path=xl/sharedStrings.xml><?xml version="1.0" encoding="utf-8"?>
<sst xmlns="http://schemas.openxmlformats.org/spreadsheetml/2006/main" count="610" uniqueCount="443">
  <si>
    <t>_feature</t>
    <phoneticPr fontId="3"/>
  </si>
  <si>
    <t>rde2name</t>
    <phoneticPr fontId="3"/>
  </si>
  <si>
    <t>instrument</t>
    <phoneticPr fontId="3"/>
  </si>
  <si>
    <t>ja</t>
    <phoneticPr fontId="3"/>
  </si>
  <si>
    <t>en</t>
    <phoneticPr fontId="3"/>
  </si>
  <si>
    <t>type</t>
    <phoneticPr fontId="3"/>
  </si>
  <si>
    <t>unit</t>
    <phoneticPr fontId="3"/>
  </si>
  <si>
    <t>desc</t>
    <phoneticPr fontId="3"/>
  </si>
  <si>
    <t>value</t>
    <phoneticPr fontId="3"/>
  </si>
  <si>
    <t xml:space="preserve">
登録時に説明欄に転記</t>
    <rPh sb="1" eb="4">
      <t>トウロクジ</t>
    </rPh>
    <rPh sb="5" eb="8">
      <t>セツメイラン</t>
    </rPh>
    <rPh sb="9" eb="11">
      <t>テンキ</t>
    </rPh>
    <phoneticPr fontId="3"/>
  </si>
  <si>
    <t>モード</t>
    <phoneticPr fontId="3"/>
  </si>
  <si>
    <t>RDE2.0 パラメータ名([0-9],[a-z],ドット、ハイフンのみ)
※RDE2.0英語名をlower_snake_case形式にする。
※システム記入欄</t>
  </si>
  <si>
    <t>装置出力</t>
    <rPh sb="0" eb="2">
      <t>ソウティ</t>
    </rPh>
    <phoneticPr fontId="3"/>
  </si>
  <si>
    <t>タクソノミー
※階層を
数値で記入。</t>
    <phoneticPr fontId="3"/>
  </si>
  <si>
    <t>RDE2.0 日本語名</t>
    <rPh sb="7" eb="11">
      <t>ニホンゴメイ</t>
    </rPh>
    <phoneticPr fontId="3"/>
  </si>
  <si>
    <t>RDE2.0 英語名</t>
  </si>
  <si>
    <t>type
※以下から選択
string/
string[date]/
number</t>
    <phoneticPr fontId="3"/>
  </si>
  <si>
    <t>単位</t>
    <phoneticPr fontId="3"/>
  </si>
  <si>
    <t>説明</t>
    <rPh sb="0" eb="2">
      <t>セツメイ</t>
    </rPh>
    <phoneticPr fontId="3"/>
  </si>
  <si>
    <t xml:space="preserve"> condition_1
※値の例を記入</t>
    <rPh sb="14" eb="15">
      <t>アタイ</t>
    </rPh>
    <rPh sb="16" eb="17">
      <t>レイ</t>
    </rPh>
    <rPh sb="18" eb="20">
      <t>キニュウ</t>
    </rPh>
    <phoneticPr fontId="3"/>
  </si>
  <si>
    <t>備考</t>
    <rPh sb="0" eb="2">
      <t>ビコウ</t>
    </rPh>
    <phoneticPr fontId="3"/>
  </si>
  <si>
    <t>variable</t>
    <phoneticPr fontId="3"/>
  </si>
  <si>
    <t>eV</t>
  </si>
  <si>
    <t>KJ/mol</t>
  </si>
  <si>
    <t>S/cm</t>
  </si>
  <si>
    <t>string</t>
  </si>
  <si>
    <t>備考</t>
  </si>
  <si>
    <t>number</t>
  </si>
  <si>
    <t>C</t>
  </si>
  <si>
    <t>cm2</t>
  </si>
  <si>
    <t>conductivity.total.activation_energy_kjmol.log_sigma_t</t>
  </si>
  <si>
    <t>conductivity.total.conductivity_300k.log_sigma_t</t>
  </si>
  <si>
    <t>conductivity.total.preexponetial_term.log_sigma_t</t>
  </si>
  <si>
    <t>conductivity.bulk.approximate_formula.log_sigma_t</t>
  </si>
  <si>
    <t>conductivity.bulk.activation_energy_ev.log_sigma_t</t>
  </si>
  <si>
    <t>conductivity.bulk.activation_energy_kjmol.log_sigma_t</t>
  </si>
  <si>
    <t>conductivity.bulk.conductivity_300k.log_sigma_t</t>
  </si>
  <si>
    <t>conductivity.bulk.preexponetial_term.log_sigma_t</t>
  </si>
  <si>
    <t>conductivity.gb.approximate_formula.log_sigma_t</t>
  </si>
  <si>
    <t>conductivity.gb.activation_energy_ev.log_sigma_t</t>
  </si>
  <si>
    <t>conductivity.gb.activation_energy_kjmol.log_sigma_t</t>
  </si>
  <si>
    <t>conductivity.gb.conductivity_300k.log_sigma_t</t>
  </si>
  <si>
    <t>conductivity.gb.preexponetial_term.log_sigma_t</t>
  </si>
  <si>
    <t>conductivity.total.approximate_formula.log_sigma</t>
  </si>
  <si>
    <t>conductivity.total.activation_energy_ev.log_sigma</t>
  </si>
  <si>
    <t>conductivity.total.activation_energy_kjmol.log_sigma</t>
  </si>
  <si>
    <t>conductivity.total.conductivity_300k.log_sigma</t>
  </si>
  <si>
    <t>conductivity.total.preexponetial_term.log_sigma</t>
  </si>
  <si>
    <t>conductivity.bulk.approximate_formula.log_sigma</t>
  </si>
  <si>
    <t>conductivity.bulk.activation_energy_ev.log_sigma</t>
  </si>
  <si>
    <t>conductivity.bulk.activation_energy_kjmol.log_sigma</t>
  </si>
  <si>
    <t>conductivity.bulk.conductivity_300k.log_sigma</t>
  </si>
  <si>
    <t>conductivity.bulk.preexponetial_term.log_sigma</t>
  </si>
  <si>
    <t>conductivity.gb.approximate_formula.log_sigma</t>
  </si>
  <si>
    <t>conductivity.gb.activation_energy_ev.log_sigma</t>
  </si>
  <si>
    <t>conductivity.gb.activation_energy_kjmol.log_sigma</t>
  </si>
  <si>
    <t>conductivity.gb.conductivity_300k.log_sigma</t>
  </si>
  <si>
    <t>conductivity.gb.preexponetial_term.log_sigma</t>
  </si>
  <si>
    <t>impedance.mpt.technique_started_on</t>
  </si>
  <si>
    <t>impedance.mpt.device</t>
  </si>
  <si>
    <t>impedance.mpt.software</t>
  </si>
  <si>
    <t>cm</t>
  </si>
  <si>
    <t>Pellet Area</t>
  </si>
  <si>
    <t>Pellet Thickness</t>
  </si>
  <si>
    <t>Conductivity total Approximate Formula (fit by logσT)</t>
  </si>
  <si>
    <t>Activation Energy total (eV) (fit by logσT)</t>
  </si>
  <si>
    <t>Activation Energy total (KJ/mol) (fit by logσT)</t>
  </si>
  <si>
    <t>Conductivity at 300K total (fit by logσT)</t>
  </si>
  <si>
    <t>Pre-exponential Term total (fit by logσT)</t>
  </si>
  <si>
    <t>Conductivity bulk Approximate Formula (fit by logσT)</t>
  </si>
  <si>
    <t>Activation Energy bulk (eV) (fit by logσT)</t>
  </si>
  <si>
    <t>Activation Energy bulk (KJ/mol) (fit by logσT)</t>
  </si>
  <si>
    <t>Conductivity at 300K bulk (fit by logσT)</t>
  </si>
  <si>
    <t>Pre-exponential Term bulk (fit by logσT)</t>
  </si>
  <si>
    <t>Conductivity total Approximate Formula (fit by logσ)</t>
  </si>
  <si>
    <t>Activation Energy total (eV) (fit by logσ)</t>
  </si>
  <si>
    <t>Activation Energy total (KJ/mol) (fit by logσ)</t>
  </si>
  <si>
    <t>Conductivity at 300K total (fit by logσ)</t>
  </si>
  <si>
    <t>Pre-exponential Term total (fit by logσ)</t>
  </si>
  <si>
    <t>Conductivity bulk Approximate Formula (fit by logσ)</t>
  </si>
  <si>
    <t>Activation Energy bulk (eV) (fit by logσ)</t>
  </si>
  <si>
    <t>Activation Energy bulk (KJ/mol) (fit by logσ)</t>
  </si>
  <si>
    <t>Conductivity at 300K bulk (fit by logσ)</t>
  </si>
  <si>
    <t>Pre-exponential Term bulk (fit by logσ)</t>
  </si>
  <si>
    <t>インピーダンス Acquisition started on</t>
  </si>
  <si>
    <t>Impedance Acquisition started on</t>
  </si>
  <si>
    <t>インピーダンス Technique started on</t>
  </si>
  <si>
    <t>Impedance Technique started on</t>
  </si>
  <si>
    <t>インピーダンス Device</t>
  </si>
  <si>
    <t>Impedance Device</t>
  </si>
  <si>
    <t>インピーダンス Software</t>
  </si>
  <si>
    <t>Impedance Software</t>
  </si>
  <si>
    <t>impedance.temperature_k</t>
  </si>
  <si>
    <t>variable、(conductivity_XXX.csvから取得。記載がなければ空)</t>
    <phoneticPr fontId="3"/>
  </si>
  <si>
    <t>order</t>
    <phoneticPr fontId="3"/>
  </si>
  <si>
    <t>impedance.file</t>
  </si>
  <si>
    <t>impedance.temperature_c</t>
  </si>
  <si>
    <t>impedance.mpt.potential_control</t>
  </si>
  <si>
    <t>impedance.mpt.ewe_ctrl_range_min</t>
  </si>
  <si>
    <t>impedance.mpt.ewe_ctrl_range_max</t>
  </si>
  <si>
    <t>impedance.mpt.ewe_I_filtering</t>
  </si>
  <si>
    <t>導電率 total 近似式 (fit by logσT)</t>
  </si>
  <si>
    <t>活性化エネルギー total  (eV) (fit by logσT)</t>
  </si>
  <si>
    <t>活性化エネルギー total  (KJ/mol) (fit by logσT)</t>
  </si>
  <si>
    <t>導電率 at 300K total (fit by logσT)</t>
  </si>
  <si>
    <t>前指数項 total (fit by logσT)</t>
  </si>
  <si>
    <t>導電率 bulk 近似式 (fit by logσT)</t>
  </si>
  <si>
    <t>活性化エネルギー bulk  (eV) (fit by logσT)</t>
  </si>
  <si>
    <t>活性化エネルギー bulk  (KJ/mol) (fit by logσT)</t>
  </si>
  <si>
    <t>導電率 at 300K bulk (fit by logσT)</t>
  </si>
  <si>
    <t>前指数項 bulk (fit by logσT)</t>
  </si>
  <si>
    <t>導電率 粒界 近似式 (fit by logσT)</t>
  </si>
  <si>
    <t>活性化エネルギー 粒界 (eV) (fit by logσT)</t>
  </si>
  <si>
    <t>活性化エネルギー粒界 (KJ/mol) (fit by logσT)</t>
  </si>
  <si>
    <t>導電率 at 300K 粒界 (fit by logσT)</t>
  </si>
  <si>
    <t>前指数項 粒界 (fit by logσT)</t>
  </si>
  <si>
    <t>導電率 total 近似式 (fit by logσ)</t>
  </si>
  <si>
    <t>活性化エネルギー total  (eV) (fit by logσ)</t>
  </si>
  <si>
    <t>活性化エネルギー total  (KJ/mol) (fit by logσ)</t>
  </si>
  <si>
    <t>導電率 at 300K total (fit by logσ)</t>
  </si>
  <si>
    <t>前指数項 total (fit by logσ)</t>
  </si>
  <si>
    <t>導電率 bulk 近似式 (fit by logσ)</t>
  </si>
  <si>
    <t>活性化エネルギー bulk  (eV) (fit by logσ)</t>
  </si>
  <si>
    <t>活性化エネルギー bulk  (KJ/mol) (fit by logσ)</t>
  </si>
  <si>
    <t>導電率 at 300K bulk (fit by logσ)</t>
  </si>
  <si>
    <t>前指数項 bulk (fit by logσ)</t>
  </si>
  <si>
    <t>導電率 粒界 近似式 (fit by logσ)</t>
  </si>
  <si>
    <t>活性化エネルギー 粒界 (eV) (fit by logσ)</t>
  </si>
  <si>
    <t>活性化エネルギー 粒界 (KJ/mol) (fit by logσ)</t>
  </si>
  <si>
    <t>導電率 at 300K 粒界 (fit by logσ)</t>
  </si>
  <si>
    <t>前指数項 粒界 (fit by logσ)</t>
  </si>
  <si>
    <t>インピーダンス ファイル</t>
  </si>
  <si>
    <t>インピーダンス 温度 (K)</t>
  </si>
  <si>
    <t>インピーダンス 温度 (C)</t>
  </si>
  <si>
    <t>インピーダンス Potential control</t>
  </si>
  <si>
    <t>インピーダンス Ewe ctrl range min</t>
  </si>
  <si>
    <t>インピーダンス Ewe ctrl range max</t>
  </si>
  <si>
    <t>インピーダンス Ewe,I filtering</t>
  </si>
  <si>
    <t>Conductivity grain boundary Approximate Formula (fit by logσT)</t>
  </si>
  <si>
    <t>Activation Energy grain boundary (eV) (fit by logσT)</t>
  </si>
  <si>
    <t>Activation Energy grain boundary (KJ/mol) (fit by logσT)</t>
  </si>
  <si>
    <t>Conductivity at 300K grain boundary (fit by logσT)</t>
  </si>
  <si>
    <t>Pre-exponential Term grain boundary (fit by logσT)</t>
  </si>
  <si>
    <t>Conductivity grain boundary Approximate Formula (fit by logσ)</t>
  </si>
  <si>
    <t>Activation Energy grain boundary (eV) (fit by logσ)</t>
  </si>
  <si>
    <t>Activation Energy grain boundary (KJ/mol) (fit by logσ)</t>
  </si>
  <si>
    <t>Conductivity at 300K grain boundary (fit by logσ)</t>
  </si>
  <si>
    <t>Pre-exponential Term grain boundary (fit by logσ)</t>
  </si>
  <si>
    <t>Impedance File</t>
  </si>
  <si>
    <t>Impedance Temperature (K)</t>
  </si>
  <si>
    <t>Impedance Temperature (C)</t>
  </si>
  <si>
    <t>Impedance Potential control</t>
  </si>
  <si>
    <t>Impedance Ewe ctrl range min</t>
  </si>
  <si>
    <t>Impedance Ewe ctrl range max</t>
  </si>
  <si>
    <t>Impedance Ewe,I filtering</t>
  </si>
  <si>
    <t>K</t>
  </si>
  <si>
    <t>V</t>
  </si>
  <si>
    <t>kHz</t>
  </si>
  <si>
    <t>仕様として固定されている項目</t>
    <rPh sb="0" eb="2">
      <t>シヨウ</t>
    </rPh>
    <rPh sb="5" eb="7">
      <t>コテイ</t>
    </rPh>
    <rPh sb="12" eb="14">
      <t>コウモク</t>
    </rPh>
    <phoneticPr fontId="3"/>
  </si>
  <si>
    <t>RDE2.0 パラメータ名([0-9],[a-z],ドット、ハイフンのみ)
※RDE2.0英語名をlower_snake_case形式にする。
※システム記入欄</t>
    <rPh sb="12" eb="13">
      <t>メイ</t>
    </rPh>
    <rPh sb="45" eb="48">
      <t>エイゴメイ</t>
    </rPh>
    <rPh sb="65" eb="67">
      <t>ケイシキ</t>
    </rPh>
    <rPh sb="77" eb="80">
      <t>キニュウラン</t>
    </rPh>
    <phoneticPr fontId="3"/>
  </si>
  <si>
    <t>必須</t>
    <rPh sb="0" eb="2">
      <t>ヒッス</t>
    </rPh>
    <phoneticPr fontId="3"/>
  </si>
  <si>
    <t>タクソノミー
※階層を数値で記入。</t>
    <rPh sb="8" eb="10">
      <t>カイソウ</t>
    </rPh>
    <rPh sb="11" eb="13">
      <t>スウチ</t>
    </rPh>
    <rPh sb="14" eb="16">
      <t>キニュウ</t>
    </rPh>
    <phoneticPr fontId="3"/>
  </si>
  <si>
    <t>RDE2.0 英語名</t>
    <rPh sb="7" eb="10">
      <t>エイゴメイ</t>
    </rPh>
    <phoneticPr fontId="3"/>
  </si>
  <si>
    <t>基本情報</t>
    <rPh sb="0" eb="4">
      <t>キホンジョウホウ</t>
    </rPh>
    <phoneticPr fontId="3"/>
  </si>
  <si>
    <t>o</t>
    <phoneticPr fontId="3"/>
  </si>
  <si>
    <t>装置</t>
    <rPh sb="0" eb="2">
      <t>ソウチ</t>
    </rPh>
    <phoneticPr fontId="3"/>
  </si>
  <si>
    <t>Instrument</t>
    <phoneticPr fontId="3"/>
  </si>
  <si>
    <t>データ投入者(所属)</t>
    <phoneticPr fontId="3"/>
  </si>
  <si>
    <t xml:space="preserve">      </t>
    <phoneticPr fontId="3"/>
  </si>
  <si>
    <t>ログインしている人で固定</t>
    <rPh sb="8" eb="9">
      <t>ヒト</t>
    </rPh>
    <rPh sb="10" eb="12">
      <t>コテイ</t>
    </rPh>
    <phoneticPr fontId="3"/>
  </si>
  <si>
    <t>データ所有者(所属)</t>
    <phoneticPr fontId="3"/>
  </si>
  <si>
    <t>Data Owner (Affiliation)</t>
    <phoneticPr fontId="3"/>
  </si>
  <si>
    <t>string</t>
    <phoneticPr fontId="3"/>
  </si>
  <si>
    <t>研究グループに登録されているメンバー</t>
    <rPh sb="0" eb="2">
      <t>ケンキュウ</t>
    </rPh>
    <rPh sb="7" eb="9">
      <t>トウロク</t>
    </rPh>
    <phoneticPr fontId="3"/>
  </si>
  <si>
    <t>データ名</t>
    <phoneticPr fontId="3"/>
  </si>
  <si>
    <t>Data Name</t>
    <phoneticPr fontId="3"/>
  </si>
  <si>
    <t>実験ID</t>
    <phoneticPr fontId="3"/>
  </si>
  <si>
    <t>Experiment ID</t>
    <phoneticPr fontId="3"/>
  </si>
  <si>
    <t>説明</t>
    <phoneticPr fontId="3"/>
  </si>
  <si>
    <t>Description</t>
    <phoneticPr fontId="3"/>
  </si>
  <si>
    <t>固有情報</t>
    <rPh sb="0" eb="4">
      <t>コユウジョウホウ</t>
    </rPh>
    <phoneticPr fontId="3"/>
  </si>
  <si>
    <t>手入力</t>
    <rPh sb="0" eb="3">
      <t>テニュウリョク</t>
    </rPh>
    <phoneticPr fontId="3"/>
  </si>
  <si>
    <t>共通メタ</t>
    <rPh sb="0" eb="2">
      <t>キョウツウ</t>
    </rPh>
    <phoneticPr fontId="3"/>
  </si>
  <si>
    <t>登録データタイプ</t>
    <phoneticPr fontId="3"/>
  </si>
  <si>
    <t>Data type</t>
    <phoneticPr fontId="3"/>
  </si>
  <si>
    <t>データの起源</t>
  </si>
  <si>
    <t>Data Origin</t>
  </si>
  <si>
    <t>Technical Category</t>
  </si>
  <si>
    <t>参考文献</t>
  </si>
  <si>
    <t>Reference</t>
  </si>
  <si>
    <t>計測メタ</t>
    <rPh sb="0" eb="2">
      <t>ケイソク</t>
    </rPh>
    <phoneticPr fontId="3"/>
  </si>
  <si>
    <t>Method category</t>
  </si>
  <si>
    <t>計測法サブカテゴリー</t>
  </si>
  <si>
    <t>Method sub-category</t>
  </si>
  <si>
    <t>分析分野</t>
  </si>
  <si>
    <t>Analysis field</t>
  </si>
  <si>
    <t>測定環境</t>
  </si>
  <si>
    <t>Measurement environment</t>
  </si>
  <si>
    <t>対象準位_遷移_構造</t>
  </si>
  <si>
    <t>Energy Level_Transition_Structure etc. of interest</t>
  </si>
  <si>
    <t>分析年月日</t>
  </si>
  <si>
    <t>Measured date</t>
  </si>
  <si>
    <t>string[date]</t>
  </si>
  <si>
    <t>標準手順</t>
  </si>
  <si>
    <t>Standardized procedure</t>
  </si>
  <si>
    <t>装置設置場所</t>
  </si>
  <si>
    <t>Instrumentation site</t>
  </si>
  <si>
    <t>ペレット面積</t>
  </si>
  <si>
    <t>ペレット厚さ</t>
  </si>
  <si>
    <t>EIS</t>
  </si>
  <si>
    <t>experiments</t>
  </si>
  <si>
    <t>measurement</t>
  </si>
  <si>
    <t>電気化学</t>
  </si>
  <si>
    <t>電気化学インピーダンス分光法</t>
  </si>
  <si>
    <t>階層</t>
    <rPh sb="0" eb="2">
      <t>カイソウ</t>
    </rPh>
    <phoneticPr fontId="3"/>
  </si>
  <si>
    <t>system</t>
    <phoneticPr fontId="3"/>
  </si>
  <si>
    <t>save_nonshared_raw</t>
    <phoneticPr fontId="3"/>
  </si>
  <si>
    <t>生ファイルの保存先</t>
    <rPh sb="0" eb="1">
      <t>ナマ</t>
    </rPh>
    <rPh sb="6" eb="9">
      <t>ホゾンサキ</t>
    </rPh>
    <phoneticPr fontId="3"/>
  </si>
  <si>
    <t>固定値</t>
    <rPh sb="0" eb="3">
      <t>コテイチ</t>
    </rPh>
    <phoneticPr fontId="3"/>
  </si>
  <si>
    <t>system</t>
  </si>
  <si>
    <t>save_thumbnail_image</t>
  </si>
  <si>
    <t>サムネイル画像保存</t>
    <phoneticPr fontId="3"/>
  </si>
  <si>
    <t>文書名称：</t>
    <rPh sb="0" eb="2">
      <t>ブンショ</t>
    </rPh>
    <rPh sb="2" eb="4">
      <t>メイショウ</t>
    </rPh>
    <phoneticPr fontId="3"/>
  </si>
  <si>
    <t>※要件定義</t>
    <rPh sb="1" eb="5">
      <t>ヨウケンテイギ</t>
    </rPh>
    <phoneticPr fontId="14"/>
  </si>
  <si>
    <t>日付</t>
    <rPh sb="0" eb="2">
      <t>ヒヅケ</t>
    </rPh>
    <phoneticPr fontId="3"/>
  </si>
  <si>
    <t>作成者</t>
    <rPh sb="0" eb="2">
      <t>サクセイ</t>
    </rPh>
    <rPh sb="2" eb="3">
      <t>シャ</t>
    </rPh>
    <phoneticPr fontId="3"/>
  </si>
  <si>
    <t>シート名</t>
    <phoneticPr fontId="3"/>
  </si>
  <si>
    <t>事由</t>
    <rPh sb="0" eb="2">
      <t>ジユウ</t>
    </rPh>
    <phoneticPr fontId="3"/>
  </si>
  <si>
    <t>特記</t>
    <rPh sb="0" eb="2">
      <t>トッキ</t>
    </rPh>
    <phoneticPr fontId="3"/>
  </si>
  <si>
    <t>新規作成</t>
    <rPh sb="0" eb="4">
      <t>シンキサクセイ</t>
    </rPh>
    <phoneticPr fontId="3"/>
  </si>
  <si>
    <t>false</t>
    <phoneticPr fontId="3"/>
  </si>
  <si>
    <t>true</t>
    <phoneticPr fontId="3"/>
  </si>
  <si>
    <t>magic_variable</t>
    <phoneticPr fontId="3"/>
  </si>
  <si>
    <t>ファイル名やタイムスタンプの自動置換</t>
    <phoneticPr fontId="3"/>
  </si>
  <si>
    <t>笹島</t>
    <rPh sb="0" eb="2">
      <t>ササジマ</t>
    </rPh>
    <phoneticPr fontId="3"/>
  </si>
  <si>
    <t>　</t>
  </si>
  <si>
    <t>必須</t>
  </si>
  <si>
    <t>内容</t>
  </si>
  <si>
    <t>入力ファイル</t>
  </si>
  <si>
    <t>出力ファイル（項目）</t>
  </si>
  <si>
    <t>ファイル種別</t>
  </si>
  <si>
    <t>ファイル名</t>
    <phoneticPr fontId="3"/>
  </si>
  <si>
    <t>処理内容</t>
  </si>
  <si>
    <t>出力ファイル</t>
    <phoneticPr fontId="3"/>
  </si>
  <si>
    <t>--</t>
  </si>
  <si>
    <t>メタデータファイル</t>
    <phoneticPr fontId="3"/>
  </si>
  <si>
    <t>metadata.json</t>
    <phoneticPr fontId="3"/>
  </si>
  <si>
    <t>構造化ファイル</t>
    <rPh sb="0" eb="3">
      <t>コウゾウカ</t>
    </rPh>
    <phoneticPr fontId="3"/>
  </si>
  <si>
    <t>代表画像ファイル</t>
    <rPh sb="0" eb="2">
      <t>ダイヒョウ</t>
    </rPh>
    <phoneticPr fontId="3"/>
  </si>
  <si>
    <t>上記以外のファイル</t>
    <rPh sb="0" eb="1">
      <t>ジョウキ</t>
    </rPh>
    <rPh sb="1" eb="3">
      <t>イガイ</t>
    </rPh>
    <phoneticPr fontId="3"/>
  </si>
  <si>
    <t>構造化処理では使用せず登録のみ行う</t>
    <rPh sb="0" eb="5">
      <t>コウゾウカショリ</t>
    </rPh>
    <rPh sb="7" eb="9">
      <t>シヨウ</t>
    </rPh>
    <rPh sb="11" eb="13">
      <t>トウロク</t>
    </rPh>
    <rPh sb="15" eb="16">
      <t>オコナ</t>
    </rPh>
    <phoneticPr fontId="3"/>
  </si>
  <si>
    <t>入力ファイルから抽出したメタデータのうち、metadeta-def.jsonに記載のあった項目をjson形式で保存</t>
    <rPh sb="0" eb="2">
      <t>ニュウリョク</t>
    </rPh>
    <rPh sb="8" eb="10">
      <t>チュウシュツ</t>
    </rPh>
    <rPh sb="39" eb="41">
      <t>キサイ</t>
    </rPh>
    <rPh sb="45" eb="47">
      <t>コウモク</t>
    </rPh>
    <rPh sb="52" eb="54">
      <t>ケイシキ</t>
    </rPh>
    <rPh sb="55" eb="57">
      <t>ホゾン</t>
    </rPh>
    <phoneticPr fontId="3"/>
  </si>
  <si>
    <t>非公開データファイル</t>
    <rPh sb="0" eb="3">
      <t>ヒコウカイ</t>
    </rPh>
    <phoneticPr fontId="3"/>
  </si>
  <si>
    <t>すべての入力ファイル</t>
    <phoneticPr fontId="3"/>
  </si>
  <si>
    <t>eisdata.html</t>
    <phoneticPr fontId="3"/>
  </si>
  <si>
    <t>conductivity_total_fit.csv
conductivity_bulk_fit.csv</t>
    <phoneticPr fontId="3"/>
  </si>
  <si>
    <t>conductivity_total.csv
conductivity_bulk.csv
SAMPLE25.mpt
SAMPLE50.mpt
SAMPLE75.mpt</t>
    <phoneticPr fontId="3"/>
  </si>
  <si>
    <t>conductivity_total_calc.csv
conductivity_bulk_calc.csv</t>
    <phoneticPr fontId="3"/>
  </si>
  <si>
    <t>インピーダンスデータファイルのデータ部からプロットに必要なデータを抽出し、欠損値を補完したもの（拡張子z、TXTも同じく）
列名は、freq/Hz, Re(Z)/Ohm, -Im(Z)/Ohm, |Z|/Ohm, Phase(Z)/deg</t>
    <phoneticPr fontId="3"/>
  </si>
  <si>
    <t>インピーダンスデータファイルのデータ部（拡張子z、TXTも同じく）</t>
    <phoneticPr fontId="3"/>
  </si>
  <si>
    <t>以下、入力ファイルが conductivity_total.csv、conductivity_bulk.csv、SAMPLE25.mpt、SAMPLE50.mpt、SAMPLE75.mpt だった場合を想定</t>
    <rPh sb="0" eb="2">
      <t>イカ</t>
    </rPh>
    <rPh sb="3" eb="5">
      <t>ニュウリョク</t>
    </rPh>
    <rPh sb="98" eb="100">
      <t>バアイ</t>
    </rPh>
    <rPh sb="101" eb="103">
      <t>ソウテイ</t>
    </rPh>
    <phoneticPr fontId="3"/>
  </si>
  <si>
    <t>Pellet Diameter</t>
    <phoneticPr fontId="3"/>
  </si>
  <si>
    <t>ペレット直径</t>
    <phoneticPr fontId="3"/>
  </si>
  <si>
    <t>pellet_diameter</t>
    <phoneticPr fontId="3"/>
  </si>
  <si>
    <t>pellet_area</t>
    <phoneticPr fontId="3"/>
  </si>
  <si>
    <t>pellet_thickness</t>
    <phoneticPr fontId="3"/>
  </si>
  <si>
    <t>impedance.mpt.acquisition_started_on</t>
    <phoneticPr fontId="3"/>
  </si>
  <si>
    <t>mpt ファイルの Acquisition started on :</t>
    <phoneticPr fontId="3"/>
  </si>
  <si>
    <t>mpt ファイルの Technique started on :</t>
    <phoneticPr fontId="3"/>
  </si>
  <si>
    <t>mpt ファイルの Potential control :</t>
    <phoneticPr fontId="3"/>
  </si>
  <si>
    <t>mpt ファイルの Ewe ctrl range :</t>
    <phoneticPr fontId="3"/>
  </si>
  <si>
    <t>mpt ファイルの Ewe I filtering :</t>
    <phoneticPr fontId="3"/>
  </si>
  <si>
    <t>mpt ファイルの Device :</t>
    <phoneticPr fontId="3"/>
  </si>
  <si>
    <t>mpt ファイルの (software)</t>
    <phoneticPr fontId="3"/>
  </si>
  <si>
    <t>Conductivity ファイルの Temperature (C)</t>
    <phoneticPr fontId="3"/>
  </si>
  <si>
    <t>Conductivity ファイルの Temperature (K)</t>
    <phoneticPr fontId="3"/>
  </si>
  <si>
    <t>インピーダンスファイル名</t>
    <rPh sb="11" eb="12">
      <t>メイ</t>
    </rPh>
    <phoneticPr fontId="3"/>
  </si>
  <si>
    <t>conductivity.total.approximate_formula.log_sigma_t</t>
    <phoneticPr fontId="3"/>
  </si>
  <si>
    <t>conductivity.total.activation_energy_ev.log_sigma_t</t>
    <phoneticPr fontId="3"/>
  </si>
  <si>
    <t>Conductivity ファイルの値から算出</t>
    <rPh sb="18" eb="19">
      <t>アタイ</t>
    </rPh>
    <rPh sb="21" eb="23">
      <t>サンシュツ</t>
    </rPh>
    <phoneticPr fontId="3"/>
  </si>
  <si>
    <t>total</t>
    <phoneticPr fontId="3"/>
  </si>
  <si>
    <t>bulk</t>
    <phoneticPr fontId="3"/>
  </si>
  <si>
    <t>導電率データの種類</t>
    <rPh sb="0" eb="3">
      <t>ドウデンリツ</t>
    </rPh>
    <rPh sb="7" eb="9">
      <t>シュルイ</t>
    </rPh>
    <phoneticPr fontId="3"/>
  </si>
  <si>
    <t>命名規則</t>
    <rPh sb="0" eb="4">
      <t>メイメイキソク</t>
    </rPh>
    <phoneticPr fontId="3"/>
  </si>
  <si>
    <t>例</t>
    <rPh sb="0" eb="1">
      <t>レイ</t>
    </rPh>
    <phoneticPr fontId="3"/>
  </si>
  <si>
    <t>conductivity_total.csv</t>
    <phoneticPr fontId="3"/>
  </si>
  <si>
    <t>2026-01-01_conductivity_bulk.csv</t>
    <phoneticPr fontId="3"/>
  </si>
  <si>
    <t>conductivity_20251122_total.csv</t>
    <phoneticPr fontId="3"/>
  </si>
  <si>
    <t>NG 例</t>
    <rPh sb="3" eb="4">
      <t>レイ</t>
    </rPh>
    <phoneticPr fontId="3"/>
  </si>
  <si>
    <t>ファイル名に識別子 "conductivity_total" が含まれていること</t>
    <rPh sb="4" eb="5">
      <t>メイ</t>
    </rPh>
    <rPh sb="32" eb="33">
      <t>フク</t>
    </rPh>
    <phoneticPr fontId="3"/>
  </si>
  <si>
    <t>ファイル名に識別子 "conductivity_bulk" が含まれていること</t>
    <rPh sb="4" eb="5">
      <t>メイ</t>
    </rPh>
    <rPh sb="31" eb="32">
      <t>フク</t>
    </rPh>
    <phoneticPr fontId="3"/>
  </si>
  <si>
    <t>ファイル名に識別子 "conductivity_gb" が含まれていること</t>
    <rPh sb="4" eb="5">
      <t>メイ</t>
    </rPh>
    <rPh sb="29" eb="30">
      <t>フク</t>
    </rPh>
    <phoneticPr fontId="3"/>
  </si>
  <si>
    <t>conductivity_bulk_20221231_conductivity_total_20221230.csv =&gt; total 導電率データ</t>
    <rPh sb="68" eb="71">
      <t>ドウデンリツ</t>
    </rPh>
    <phoneticPr fontId="3"/>
  </si>
  <si>
    <t>2026-01-01_conductivity-bulk.csv</t>
    <phoneticPr fontId="3"/>
  </si>
  <si>
    <t>conductivity_gbAAA.csv</t>
    <phoneticPr fontId="3"/>
  </si>
  <si>
    <t>導電率データファイル</t>
    <rPh sb="0" eb="3">
      <t>ドウデンリツ</t>
    </rPh>
    <phoneticPr fontId="3"/>
  </si>
  <si>
    <t>拡張子は .csv</t>
    <rPh sb="0" eb="3">
      <t>カクチョウシ</t>
    </rPh>
    <phoneticPr fontId="3"/>
  </si>
  <si>
    <t>インピーダンスファイル</t>
    <phoneticPr fontId="3"/>
  </si>
  <si>
    <t>拡張子は .mpt、.z、.txt</t>
    <rPh sb="0" eb="3">
      <t>カクチョウシ</t>
    </rPh>
    <phoneticPr fontId="3"/>
  </si>
  <si>
    <t>ファイル命名規則は特になし</t>
    <rPh sb="4" eb="8">
      <t>メイメイキソク</t>
    </rPh>
    <rPh sb="9" eb="10">
      <t>トク</t>
    </rPh>
    <phoneticPr fontId="3"/>
  </si>
  <si>
    <t>ファイル命名規則は、導電率データごとに以下のとおり。</t>
    <rPh sb="4" eb="8">
      <t>メイメイキソク</t>
    </rPh>
    <rPh sb="10" eb="13">
      <t>ドウデンリツ</t>
    </rPh>
    <rPh sb="19" eb="21">
      <t>イカ</t>
    </rPh>
    <phoneticPr fontId="3"/>
  </si>
  <si>
    <t>複数の識別子が含まれている場合は、評価の優先順位を total &gt; bulk &gt; gb とする。</t>
    <rPh sb="0" eb="2">
      <t>フクスウ</t>
    </rPh>
    <rPh sb="3" eb="6">
      <t>シキベツシ</t>
    </rPh>
    <rPh sb="7" eb="8">
      <t>フク</t>
    </rPh>
    <rPh sb="13" eb="15">
      <t>バアイ</t>
    </rPh>
    <rPh sb="17" eb="19">
      <t>ヒョウカ</t>
    </rPh>
    <rPh sb="20" eb="24">
      <t>ユウセンジュンイ</t>
    </rPh>
    <phoneticPr fontId="3"/>
  </si>
  <si>
    <t>SAMPLE25.mpt、SAMPLE50.TXT、eis_030.z、66.4oC.z などの1つ以上のファイル</t>
    <rPh sb="50" eb="52">
      <t>イジョウ</t>
    </rPh>
    <phoneticPr fontId="3"/>
  </si>
  <si>
    <t>上記 *_data.mpt の Re(Z)/Ohm, -Im(Z)/Ohm にインピーダンス規格化係数をかけ、その値で |Z|/Ohm, Phase(Z)/deg を再計算したもの</t>
    <rPh sb="0" eb="2">
      <t>ジョウキ</t>
    </rPh>
    <rPh sb="46" eb="51">
      <t>キカクカケイスウ</t>
    </rPh>
    <rPh sb="57" eb="58">
      <t>アタイ</t>
    </rPh>
    <rPh sb="83" eb="86">
      <t>サイケイサン</t>
    </rPh>
    <phoneticPr fontId="3"/>
  </si>
  <si>
    <t>conductivity.png</t>
    <phoneticPr fontId="3"/>
  </si>
  <si>
    <t>画像ファイル</t>
    <phoneticPr fontId="3"/>
  </si>
  <si>
    <t>conductivity_arrhenius_fit_log_sigma.png</t>
    <phoneticPr fontId="3"/>
  </si>
  <si>
    <t>conductivity_arrhenius_log_sigma.png</t>
    <phoneticPr fontId="3"/>
  </si>
  <si>
    <t>conductivity_arrhenius_log_sigma_t.png</t>
    <phoneticPr fontId="3"/>
  </si>
  <si>
    <t>conductivity_total_arrhenius_log_sigma.png</t>
    <phoneticPr fontId="3"/>
  </si>
  <si>
    <t>conductivity_total_arrhenius_log_sigma_t.png</t>
    <phoneticPr fontId="3"/>
  </si>
  <si>
    <t>conductivity_bulk_arrhenius_log_sigma.png</t>
    <phoneticPr fontId="3"/>
  </si>
  <si>
    <t>conductivity_bulk_arrhenius_log_sigma_t.png</t>
    <phoneticPr fontId="3"/>
  </si>
  <si>
    <t>cole_cole.png</t>
    <phoneticPr fontId="3"/>
  </si>
  <si>
    <t>bode_magnitude.png</t>
    <phoneticPr fontId="3"/>
  </si>
  <si>
    <t>bode_phase.png</t>
    <phoneticPr fontId="3"/>
  </si>
  <si>
    <t>bode_phase_inverted.png</t>
    <phoneticPr fontId="3"/>
  </si>
  <si>
    <t>cole_cole_normalized.png</t>
    <phoneticPr fontId="3"/>
  </si>
  <si>
    <t>bode_magnitude_normalized.png</t>
    <phoneticPr fontId="3"/>
  </si>
  <si>
    <t>bode_phase_normalized.png</t>
    <phoneticPr fontId="3"/>
  </si>
  <si>
    <t>bode_phase_inverted_normalized.png</t>
    <phoneticPr fontId="3"/>
  </si>
  <si>
    <t xml:space="preserve">conductivity_arrhenius_fit_log_sigma_t.png
</t>
    <phoneticPr fontId="3"/>
  </si>
  <si>
    <t>または cole_cole.png</t>
  </si>
  <si>
    <t>structured_log.txt</t>
    <phoneticPr fontId="3"/>
  </si>
  <si>
    <t>構造化処理ログファイル</t>
    <rPh sb="0" eb="5">
      <t>コウゾウカショリ</t>
    </rPh>
    <phoneticPr fontId="3"/>
  </si>
  <si>
    <t>plotlyを使用</t>
    <rPh sb="6" eb="8">
      <t>シヨウ</t>
    </rPh>
    <phoneticPr fontId="3"/>
  </si>
  <si>
    <t>プロット画像を1つの html にまとめて出力したもの
導電率の Arrhenius パラメータを表として追加している</t>
    <rPh sb="4" eb="6">
      <t>ガゾウ</t>
    </rPh>
    <rPh sb="21" eb="23">
      <t>シュツリョク</t>
    </rPh>
    <rPh sb="53" eb="55">
      <t>ツイカ</t>
    </rPh>
    <phoneticPr fontId="3"/>
  </si>
  <si>
    <t>入力がインピーダンスデータファイルだけの場合、Cole-Coleプロット画像</t>
    <phoneticPr fontId="3"/>
  </si>
  <si>
    <t xml:space="preserve">導電率データファイルが入力された場合、log σTのフィッティングありの Arrhenius プロット画像
</t>
    <rPh sb="11" eb="13">
      <t>ニュウリョク</t>
    </rPh>
    <rPh sb="16" eb="18">
      <t>バアイ</t>
    </rPh>
    <rPh sb="51" eb="53">
      <t>ガゾウ</t>
    </rPh>
    <phoneticPr fontId="3"/>
  </si>
  <si>
    <t>技術カテゴリー</t>
    <phoneticPr fontId="3"/>
  </si>
  <si>
    <t>計測法カテゴリー</t>
    <phoneticPr fontId="3"/>
  </si>
  <si>
    <t>g.b.</t>
    <phoneticPr fontId="3"/>
  </si>
  <si>
    <t>conductivity_g.b.AAA.csv</t>
    <phoneticPr fontId="3"/>
  </si>
  <si>
    <t>上記 *_calc.csv の、「1000/T (K^-1)」「log sigma (S cm^-1)」「log sigma T (K S cm^-1)」がNaNでない行を抽出したもの</t>
    <rPh sb="0" eb="1">
      <t>ジョウキ</t>
    </rPh>
    <rPh sb="14" eb="15">
      <t>ウチ</t>
    </rPh>
    <rPh sb="84" eb="85">
      <t>ギョウ</t>
    </rPh>
    <rPh sb="86" eb="88">
      <t>チュウシュツ</t>
    </rPh>
    <phoneticPr fontId="3"/>
  </si>
  <si>
    <t>conductivity_total.csv、conductivity_bulk.csv、conductivity_gb.csv など1つ以上のcsvファイル</t>
    <rPh sb="69" eb="71">
      <t>イジョウ</t>
    </rPh>
    <phoneticPr fontId="3"/>
  </si>
  <si>
    <t>・導電率データファイル、既定のヘッダーのCSV形式、ファイル名は[ファイル命名規則]シート参照
・1ファイルだけ投入する場合は、total導電率データであること
・内容の詳細は[README.md]を参照</t>
    <rPh sb="56" eb="58">
      <t>トウニュウ</t>
    </rPh>
    <rPh sb="60" eb="62">
      <t>バアイ</t>
    </rPh>
    <rPh sb="69" eb="72">
      <t>ドウデンリツ</t>
    </rPh>
    <rPh sb="82" eb="84">
      <t>ナイヨウ</t>
    </rPh>
    <rPh sb="85" eb="87">
      <t>ショウサイ</t>
    </rPh>
    <rPh sb="100" eb="102">
      <t>サンショウ</t>
    </rPh>
    <phoneticPr fontId="3"/>
  </si>
  <si>
    <t>インピーダンスデータファイル、拡張子は .mpt、.z、.txtのいずれか
・.mpt: BioLogic EC-Lab の出力ファイル
・.z: ZPlot、ZViewの出力ファイル
・.TXT: BioLogic EC-Lab の出力ファイルのデータ部の必要列のみ
・内容の詳細は[README.md]を参照</t>
    <rPh sb="15" eb="18">
      <t>カクチョウシ</t>
    </rPh>
    <rPh sb="62" eb="64">
      <t>シュツリョク</t>
    </rPh>
    <rPh sb="86" eb="88">
      <t>シュツリョク</t>
    </rPh>
    <rPh sb="127" eb="128">
      <t>ブ</t>
    </rPh>
    <rPh sb="129" eb="132">
      <t>ヒツヨウレツ</t>
    </rPh>
    <phoneticPr fontId="3"/>
  </si>
  <si>
    <t>試料情報</t>
    <rPh sb="0" eb="2">
      <t>シリョウ</t>
    </rPh>
    <rPh sb="2" eb="4">
      <t>ジョウホウ</t>
    </rPh>
    <phoneticPr fontId="3"/>
  </si>
  <si>
    <t>試料情報</t>
    <rPh sb="0" eb="4">
      <t>シリョウジョウホウ</t>
    </rPh>
    <phoneticPr fontId="3"/>
  </si>
  <si>
    <t>o</t>
  </si>
  <si>
    <t>試料名(ローカルID)</t>
  </si>
  <si>
    <t>Sample name (Local ID)</t>
    <phoneticPr fontId="3"/>
  </si>
  <si>
    <t>化学式・組成式・分子式など</t>
  </si>
  <si>
    <t>Chemical formula etc.</t>
  </si>
  <si>
    <t>試料管理者(所属)</t>
    <phoneticPr fontId="3"/>
  </si>
  <si>
    <t>Administrator (Affiliation)</t>
  </si>
  <si>
    <t>参考URL</t>
  </si>
  <si>
    <t>Reference URL</t>
  </si>
  <si>
    <t>関連試料</t>
  </si>
  <si>
    <t>Related samples</t>
  </si>
  <si>
    <t>タグ</t>
  </si>
  <si>
    <t>Tags</t>
  </si>
  <si>
    <t>試料の説明</t>
  </si>
  <si>
    <t xml:space="preserve">Description </t>
  </si>
  <si>
    <t>一般名称</t>
    <rPh sb="0" eb="4">
      <t>イッパンメイショウ</t>
    </rPh>
    <phoneticPr fontId="3"/>
  </si>
  <si>
    <t>General name</t>
  </si>
  <si>
    <t>CAS番号</t>
    <phoneticPr fontId="3"/>
  </si>
  <si>
    <t>CAS Number</t>
  </si>
  <si>
    <t>結晶構造</t>
    <phoneticPr fontId="3"/>
  </si>
  <si>
    <t>Crystal structure</t>
  </si>
  <si>
    <t>試料形状</t>
    <phoneticPr fontId="3"/>
  </si>
  <si>
    <t>Sample shape</t>
  </si>
  <si>
    <t>試料購入日</t>
    <phoneticPr fontId="3"/>
  </si>
  <si>
    <t>Purchase date</t>
  </si>
  <si>
    <t>購入元</t>
    <phoneticPr fontId="3"/>
  </si>
  <si>
    <t>Supplier</t>
  </si>
  <si>
    <t>ロット番号、製造番号など</t>
    <phoneticPr fontId="3"/>
  </si>
  <si>
    <t>Lot number or product number etc</t>
  </si>
  <si>
    <t>1. 係数の取得方法</t>
  </si>
  <si>
    <r>
      <t>導電率 CSV から</t>
    </r>
    <r>
      <rPr>
        <sz val="11"/>
        <color theme="1"/>
        <rFont val="Yu Gothic"/>
        <family val="2"/>
        <scheme val="minor"/>
      </rPr>
      <t>：</t>
    </r>
  </si>
  <si>
    <r>
      <t xml:space="preserve">2. 一致行が無い、または「Impedance File」列が無い場合は、CSV の全行で </t>
    </r>
    <r>
      <rPr>
        <sz val="10"/>
        <color theme="1"/>
        <rFont val="Arial Unicode MS"/>
        <family val="2"/>
      </rPr>
      <t>1 / (Resistivity × Conductivity)</t>
    </r>
    <r>
      <rPr>
        <sz val="11"/>
        <color theme="1"/>
        <rFont val="Yu Gothic"/>
        <family val="2"/>
        <scheme val="minor"/>
      </rPr>
      <t xml:space="preserve"> を計算し、数値が入っている行だけの </t>
    </r>
    <r>
      <rPr>
        <b/>
        <sz val="11"/>
        <color theme="1"/>
        <rFont val="Yu Gothic"/>
        <family val="3"/>
        <charset val="128"/>
        <scheme val="minor"/>
      </rPr>
      <t>平均値</t>
    </r>
    <r>
      <rPr>
        <sz val="11"/>
        <color theme="1"/>
        <rFont val="Yu Gothic"/>
        <family val="2"/>
        <scheme val="minor"/>
      </rPr>
      <t xml:space="preserve"> を係数にします。</t>
    </r>
  </si>
  <si>
    <r>
      <t>取得した係数（数値）があるときは、</t>
    </r>
    <r>
      <rPr>
        <sz val="10"/>
        <color theme="1"/>
        <rFont val="Arial Unicode MS"/>
        <family val="2"/>
      </rPr>
      <t>Re(Z)</t>
    </r>
    <r>
      <rPr>
        <sz val="11"/>
        <color theme="1"/>
        <rFont val="Yu Gothic"/>
        <family val="2"/>
        <scheme val="minor"/>
      </rPr>
      <t xml:space="preserve"> と </t>
    </r>
    <r>
      <rPr>
        <sz val="10"/>
        <color theme="1"/>
        <rFont val="Arial Unicode MS"/>
        <family val="2"/>
      </rPr>
      <t>-Im(Z)</t>
    </r>
    <r>
      <rPr>
        <sz val="11"/>
        <color theme="1"/>
        <rFont val="Yu Gothic"/>
        <family val="2"/>
        <scheme val="minor"/>
      </rPr>
      <t xml:space="preserve"> にその係数を掛け、絶対値 </t>
    </r>
    <r>
      <rPr>
        <sz val="10"/>
        <color theme="1"/>
        <rFont val="Arial Unicode MS"/>
        <family val="2"/>
      </rPr>
      <t>|Z|</t>
    </r>
    <r>
      <rPr>
        <sz val="11"/>
        <color theme="1"/>
        <rFont val="Yu Gothic"/>
        <family val="2"/>
        <scheme val="minor"/>
      </rPr>
      <t xml:space="preserve"> と位相 </t>
    </r>
    <r>
      <rPr>
        <sz val="10"/>
        <color theme="1"/>
        <rFont val="Arial Unicode MS"/>
        <family val="2"/>
      </rPr>
      <t>Phase</t>
    </r>
    <r>
      <rPr>
        <sz val="11"/>
        <color theme="1"/>
        <rFont val="Yu Gothic"/>
        <family val="2"/>
        <scheme val="minor"/>
      </rPr>
      <t xml:space="preserve"> を再計算します。</t>
    </r>
  </si>
  <si>
    <r>
      <t>ペレット情報から</t>
    </r>
    <r>
      <rPr>
        <sz val="11"/>
        <color theme="1"/>
        <rFont val="Yu Gothic"/>
        <family val="2"/>
        <scheme val="minor"/>
      </rPr>
      <t>：</t>
    </r>
    <phoneticPr fontId="3"/>
  </si>
  <si>
    <t>この係数は 導電率 CSV が無い、または導電率 CSV から平均が算出できなかったとき のみ使用されます。</t>
    <phoneticPr fontId="3"/>
  </si>
  <si>
    <r>
      <t>1. conductivity_total.csv</t>
    </r>
    <r>
      <rPr>
        <sz val="11"/>
        <color theme="1"/>
        <rFont val="Yu Gothic"/>
        <family val="2"/>
        <scheme val="minor"/>
      </rPr>
      <t xml:space="preserve"> に </t>
    </r>
    <r>
      <rPr>
        <b/>
        <sz val="11"/>
        <color theme="1"/>
        <rFont val="Yu Gothic"/>
        <family val="3"/>
        <charset val="128"/>
        <scheme val="minor"/>
      </rPr>
      <t>「Impedance File」列</t>
    </r>
    <r>
      <rPr>
        <sz val="11"/>
        <color theme="1"/>
        <rFont val="Yu Gothic"/>
        <family val="2"/>
        <scheme val="minor"/>
      </rPr>
      <t>があり、インピーダンス測定ファイル名と一致する行があれば、その行だけの</t>
    </r>
    <r>
      <rPr>
        <sz val="10"/>
        <color theme="1"/>
        <rFont val="Arial Unicode MS"/>
        <family val="2"/>
      </rPr>
      <t>1 / (Resistivity × Conductivity) を係数にします。</t>
    </r>
    <phoneticPr fontId="3"/>
  </si>
  <si>
    <t>SAMPLE25.mpt_calc.csv
SAMPLE50.mpt_calc.csv
SAMPLE75.mpt_calc.csv</t>
    <phoneticPr fontId="3"/>
  </si>
  <si>
    <t>SAMPLE25.mpt_data.csv
SAMPLE50.mpt_data.csv
SAMPLE75.mpt_data.csv</t>
    <phoneticPr fontId="3"/>
  </si>
  <si>
    <t>SAMPLE25.mpt_norm.csv
SAMPLE50.mpt_norm.csv
SAMPLE75.mpt_norm.csv</t>
    <phoneticPr fontId="3"/>
  </si>
  <si>
    <t>生データプロット
（導電率データが入力された場合のみ出力）</t>
    <rPh sb="10" eb="13">
      <t>ドウデンリツ</t>
    </rPh>
    <rPh sb="17" eb="19">
      <t>ニュウリョク</t>
    </rPh>
    <rPh sb="22" eb="24">
      <t>バアイ</t>
    </rPh>
    <rPh sb="26" eb="28">
      <t>シュツリョク</t>
    </rPh>
    <phoneticPr fontId="3"/>
  </si>
  <si>
    <t>log σ を用いた導電率成分の複合 Arrhenius プロットと近似線
（導電率データが入力された場合のみ出力）</t>
    <phoneticPr fontId="3"/>
  </si>
  <si>
    <t>log σ を用いた導電率成分の複合 Arrhenius プロット
（導電率データが入力された場合のみ出力）</t>
    <phoneticPr fontId="3"/>
  </si>
  <si>
    <t>log σT を用いた導電率成分の複合 Arrhenius プロット
（導電率データが入力された場合のみ出力）</t>
    <phoneticPr fontId="3"/>
  </si>
  <si>
    <t>Cole-Coleプロット
（インピーダンスデータが入力された場合のみ出力）</t>
    <phoneticPr fontId="3"/>
  </si>
  <si>
    <t>Bode Magnitude プロット
（インピーダンスデータが入力された場合のみ出力）</t>
    <phoneticPr fontId="3"/>
  </si>
  <si>
    <t>Bode Phase プロット
（インピーダンスデータが入力された場合のみ出力）</t>
    <phoneticPr fontId="3"/>
  </si>
  <si>
    <t>Y軸を反転した Bode Phase プロット
（インピーダンスデータが入力された場合のみ出力）</t>
    <phoneticPr fontId="3"/>
  </si>
  <si>
    <t>インピーダンス規格化 Cole-Coleプロット
（インピーダンスデータが入力された場合のみ出力）</t>
    <phoneticPr fontId="3"/>
  </si>
  <si>
    <t>インピーダンス規格化 Bode Magnitude プロット
（インピーダンスデータが入力された場合のみ出力）</t>
    <phoneticPr fontId="3"/>
  </si>
  <si>
    <t>インピーダンス規格化 Bode Phase プロット
（インピーダンスデータが入力された場合のみ出力）</t>
    <phoneticPr fontId="3"/>
  </si>
  <si>
    <t>インピーダンス規格化 Y軸を反転した Bode Phase プロット
（インピーダンスデータが入力された場合のみ出力）</t>
    <phoneticPr fontId="3"/>
  </si>
  <si>
    <t>1. ファイルの読み込みとヘッダー分離</t>
  </si>
  <si>
    <r>
      <t>2. 必要列の標準化</t>
    </r>
    <r>
      <rPr>
        <sz val="11"/>
        <color theme="1"/>
        <rFont val="Yu Gothic"/>
        <family val="2"/>
        <scheme val="minor"/>
      </rPr>
      <t>（</t>
    </r>
    <r>
      <rPr>
        <sz val="10"/>
        <color theme="1"/>
        <rFont val="Arial Unicode MS"/>
        <family val="2"/>
      </rPr>
      <t>extract_and_calculate_missing_columns()</t>
    </r>
    <r>
      <rPr>
        <sz val="11"/>
        <color theme="1"/>
        <rFont val="Yu Gothic"/>
        <family val="2"/>
        <scheme val="minor"/>
      </rPr>
      <t>）</t>
    </r>
  </si>
  <si>
    <r>
      <t>標準列</t>
    </r>
    <r>
      <rPr>
        <sz val="11"/>
        <color theme="1"/>
        <rFont val="Yu Gothic"/>
        <family val="2"/>
        <scheme val="minor"/>
      </rPr>
      <t>：</t>
    </r>
    <r>
      <rPr>
        <sz val="10"/>
        <color theme="1"/>
        <rFont val="Arial Unicode MS"/>
        <family val="2"/>
      </rPr>
      <t>freq/Hz</t>
    </r>
    <r>
      <rPr>
        <sz val="11"/>
        <color theme="1"/>
        <rFont val="Yu Gothic"/>
        <family val="2"/>
        <scheme val="minor"/>
      </rPr>
      <t xml:space="preserve">, </t>
    </r>
    <r>
      <rPr>
        <sz val="10"/>
        <color theme="1"/>
        <rFont val="Arial Unicode MS"/>
        <family val="2"/>
      </rPr>
      <t>Re(Z)/Ohm</t>
    </r>
    <r>
      <rPr>
        <sz val="11"/>
        <color theme="1"/>
        <rFont val="Yu Gothic"/>
        <family val="2"/>
        <scheme val="minor"/>
      </rPr>
      <t xml:space="preserve">, </t>
    </r>
    <r>
      <rPr>
        <sz val="10"/>
        <color theme="1"/>
        <rFont val="Arial Unicode MS"/>
        <family val="2"/>
      </rPr>
      <t>-Im(Z)/Ohm</t>
    </r>
    <r>
      <rPr>
        <sz val="11"/>
        <color theme="1"/>
        <rFont val="Yu Gothic"/>
        <family val="2"/>
        <scheme val="minor"/>
      </rPr>
      <t xml:space="preserve">, </t>
    </r>
    <r>
      <rPr>
        <sz val="10"/>
        <color theme="1"/>
        <rFont val="Arial Unicode MS"/>
        <family val="2"/>
      </rPr>
      <t>|Z|/Ohm</t>
    </r>
    <r>
      <rPr>
        <sz val="11"/>
        <color theme="1"/>
        <rFont val="Yu Gothic"/>
        <family val="2"/>
        <scheme val="minor"/>
      </rPr>
      <t xml:space="preserve">, </t>
    </r>
    <r>
      <rPr>
        <sz val="10"/>
        <color theme="1"/>
        <rFont val="Arial Unicode MS"/>
        <family val="2"/>
      </rPr>
      <t>Phase(Z)/deg</t>
    </r>
    <r>
      <rPr>
        <sz val="11"/>
        <color theme="1"/>
        <rFont val="Yu Gothic"/>
        <family val="2"/>
        <scheme val="minor"/>
      </rPr>
      <t xml:space="preserve"> が最終的に必要。</t>
    </r>
  </si>
  <si>
    <r>
      <t xml:space="preserve">元データに </t>
    </r>
    <r>
      <rPr>
        <b/>
        <sz val="11"/>
        <color theme="1"/>
        <rFont val="Yu Gothic"/>
        <family val="3"/>
        <charset val="128"/>
        <scheme val="minor"/>
      </rPr>
      <t>同等の列名</t>
    </r>
    <r>
      <rPr>
        <sz val="11"/>
        <color theme="1"/>
        <rFont val="Yu Gothic"/>
        <family val="2"/>
        <scheme val="minor"/>
      </rPr>
      <t xml:space="preserve"> があればそのままコピー：</t>
    </r>
  </si>
  <si>
    <r>
      <t xml:space="preserve">周波数 → </t>
    </r>
    <r>
      <rPr>
        <sz val="10"/>
        <color theme="1"/>
        <rFont val="Arial Unicode MS"/>
        <family val="2"/>
      </rPr>
      <t>freq/Hz</t>
    </r>
    <r>
      <rPr>
        <sz val="11"/>
        <color theme="1"/>
        <rFont val="Yu Gothic"/>
        <family val="2"/>
        <scheme val="minor"/>
      </rPr>
      <t>（</t>
    </r>
    <r>
      <rPr>
        <sz val="10"/>
        <color theme="1"/>
        <rFont val="Arial Unicode MS"/>
        <family val="2"/>
      </rPr>
      <t>freq/Hz</t>
    </r>
    <r>
      <rPr>
        <sz val="11"/>
        <color theme="1"/>
        <rFont val="Yu Gothic"/>
        <family val="2"/>
        <scheme val="minor"/>
      </rPr>
      <t xml:space="preserve">, </t>
    </r>
    <r>
      <rPr>
        <sz val="10"/>
        <color theme="1"/>
        <rFont val="Arial Unicode MS"/>
        <family val="2"/>
      </rPr>
      <t>Freq(Hz)</t>
    </r>
    <r>
      <rPr>
        <sz val="11"/>
        <color theme="1"/>
        <rFont val="Yu Gothic"/>
        <family val="2"/>
        <scheme val="minor"/>
      </rPr>
      <t xml:space="preserve">, </t>
    </r>
    <r>
      <rPr>
        <sz val="10"/>
        <color theme="1"/>
        <rFont val="Arial Unicode MS"/>
        <family val="2"/>
      </rPr>
      <t>Freq(Hz)</t>
    </r>
    <r>
      <rPr>
        <sz val="11"/>
        <color theme="1"/>
        <rFont val="Yu Gothic"/>
        <family val="2"/>
        <scheme val="minor"/>
      </rPr>
      <t xml:space="preserve"> など）</t>
    </r>
  </si>
  <si>
    <r>
      <t xml:space="preserve">実部 → </t>
    </r>
    <r>
      <rPr>
        <sz val="10"/>
        <color theme="1"/>
        <rFont val="Arial Unicode MS"/>
        <family val="2"/>
      </rPr>
      <t>Re(Z)/Ohm</t>
    </r>
    <r>
      <rPr>
        <sz val="11"/>
        <color theme="1"/>
        <rFont val="Yu Gothic"/>
        <family val="2"/>
        <scheme val="minor"/>
      </rPr>
      <t>（</t>
    </r>
    <r>
      <rPr>
        <sz val="10"/>
        <color theme="1"/>
        <rFont val="Arial Unicode MS"/>
        <family val="2"/>
      </rPr>
      <t>Re(Z)/Ohm</t>
    </r>
    <r>
      <rPr>
        <sz val="11"/>
        <color theme="1"/>
        <rFont val="Yu Gothic"/>
        <family val="2"/>
        <scheme val="minor"/>
      </rPr>
      <t xml:space="preserve">, </t>
    </r>
    <r>
      <rPr>
        <sz val="10"/>
        <color theme="1"/>
        <rFont val="Arial Unicode MS"/>
        <family val="2"/>
      </rPr>
      <t>Z'(a)</t>
    </r>
    <r>
      <rPr>
        <sz val="11"/>
        <color theme="1"/>
        <rFont val="Yu Gothic"/>
        <family val="2"/>
        <scheme val="minor"/>
      </rPr>
      <t xml:space="preserve"> など）</t>
    </r>
  </si>
  <si>
    <r>
      <t xml:space="preserve">虚部 → </t>
    </r>
    <r>
      <rPr>
        <sz val="10"/>
        <color theme="1"/>
        <rFont val="Arial Unicode MS"/>
        <family val="2"/>
      </rPr>
      <t>-Im(Z)/Ohm</t>
    </r>
    <r>
      <rPr>
        <sz val="11"/>
        <color theme="1"/>
        <rFont val="Yu Gothic"/>
        <family val="2"/>
        <scheme val="minor"/>
      </rPr>
      <t>（</t>
    </r>
    <r>
      <rPr>
        <sz val="10"/>
        <color theme="1"/>
        <rFont val="Arial Unicode MS"/>
        <family val="2"/>
      </rPr>
      <t>-Im(Z)/Ohm</t>
    </r>
    <r>
      <rPr>
        <sz val="11"/>
        <color theme="1"/>
        <rFont val="Yu Gothic"/>
        <family val="2"/>
        <scheme val="minor"/>
      </rPr>
      <t xml:space="preserve">, </t>
    </r>
    <r>
      <rPr>
        <sz val="10"/>
        <color theme="1"/>
        <rFont val="Arial Unicode MS"/>
        <family val="2"/>
      </rPr>
      <t>Im(Z)/Ohm</t>
    </r>
    <r>
      <rPr>
        <sz val="11"/>
        <color theme="1"/>
        <rFont val="Yu Gothic"/>
        <family val="2"/>
        <scheme val="minor"/>
      </rPr>
      <t xml:space="preserve"> の符号反転、</t>
    </r>
    <r>
      <rPr>
        <sz val="10"/>
        <color theme="1"/>
        <rFont val="Arial Unicode MS"/>
        <family val="2"/>
      </rPr>
      <t>Z''(b)</t>
    </r>
    <r>
      <rPr>
        <sz val="11"/>
        <color theme="1"/>
        <rFont val="Yu Gothic"/>
        <family val="2"/>
        <scheme val="minor"/>
      </rPr>
      <t xml:space="preserve">, </t>
    </r>
    <r>
      <rPr>
        <sz val="10"/>
        <color theme="1"/>
        <rFont val="Arial Unicode MS"/>
        <family val="2"/>
      </rPr>
      <t>Z"(b)</t>
    </r>
    <r>
      <rPr>
        <sz val="11"/>
        <color theme="1"/>
        <rFont val="Yu Gothic"/>
        <family val="2"/>
        <scheme val="minor"/>
      </rPr>
      <t xml:space="preserve"> など）</t>
    </r>
  </si>
  <si>
    <r>
      <t>|Z| = sqrt( Re² + Im² )</t>
    </r>
    <r>
      <rPr>
        <sz val="11"/>
        <color theme="1"/>
        <rFont val="Yu Gothic"/>
        <family val="2"/>
        <scheme val="minor"/>
      </rPr>
      <t>（</t>
    </r>
    <r>
      <rPr>
        <sz val="10"/>
        <color theme="1"/>
        <rFont val="Arial Unicode MS"/>
        <family val="2"/>
      </rPr>
      <t>Im</t>
    </r>
    <r>
      <rPr>
        <sz val="11"/>
        <color theme="1"/>
        <rFont val="Yu Gothic"/>
        <family val="2"/>
        <scheme val="minor"/>
      </rPr>
      <t xml:space="preserve"> はマイナス符号を付けたもの）</t>
    </r>
  </si>
  <si>
    <r>
      <t>Phase = arctan2( Im , Re )</t>
    </r>
    <r>
      <rPr>
        <sz val="11"/>
        <color theme="1"/>
        <rFont val="Yu Gothic"/>
        <family val="2"/>
        <scheme val="minor"/>
      </rPr>
      <t xml:space="preserve"> を </t>
    </r>
    <r>
      <rPr>
        <b/>
        <sz val="11"/>
        <color theme="1"/>
        <rFont val="Yu Gothic"/>
        <family val="3"/>
        <charset val="128"/>
        <scheme val="minor"/>
      </rPr>
      <t>度数</t>
    </r>
    <r>
      <rPr>
        <sz val="11"/>
        <color theme="1"/>
        <rFont val="Yu Gothic"/>
        <family val="2"/>
        <scheme val="minor"/>
      </rPr>
      <t xml:space="preserve"> に変換（</t>
    </r>
    <r>
      <rPr>
        <sz val="10"/>
        <color theme="1"/>
        <rFont val="Arial Unicode MS"/>
        <family val="2"/>
      </rPr>
      <t>np.angle(z, deg=True)</t>
    </r>
    <r>
      <rPr>
        <sz val="11"/>
        <color theme="1"/>
        <rFont val="Yu Gothic"/>
        <family val="2"/>
        <scheme val="minor"/>
      </rPr>
      <t>）。</t>
    </r>
  </si>
  <si>
    <r>
      <t xml:space="preserve">欠損している </t>
    </r>
    <r>
      <rPr>
        <b/>
        <sz val="11"/>
        <color theme="1"/>
        <rFont val="Yu Gothic"/>
        <family val="3"/>
        <charset val="128"/>
        <scheme val="minor"/>
      </rPr>
      <t>周波数</t>
    </r>
    <r>
      <rPr>
        <sz val="11"/>
        <color theme="1"/>
        <rFont val="Yu Gothic"/>
        <family val="2"/>
        <scheme val="minor"/>
      </rPr>
      <t xml:space="preserve"> があれば、元データにあればコピーし、無ければその行は除外（フィッティング時に自動的に落とされる）。</t>
    </r>
  </si>
  <si>
    <t>3. 欠損補完後の保存</t>
  </si>
  <si>
    <t>全行を文字列リストとして取得してから、ヘッダー部 と 数値データ部（最初に Re(Z)/Ohm と Im(Z)/Ohm が現れる行）に分割し、pandas.read_csv で DataFrame に変換（タブ区切りか空白区切りを自動判定）。</t>
    <phoneticPr fontId="3"/>
  </si>
  <si>
    <r>
      <t xml:space="preserve">補完・計算が終わった DataFrame を </t>
    </r>
    <r>
      <rPr>
        <sz val="10"/>
        <color theme="1"/>
        <rFont val="Arial Unicode MS"/>
        <family val="2"/>
      </rPr>
      <t xml:space="preserve">*_calc.csv </t>
    </r>
    <r>
      <rPr>
        <sz val="11"/>
        <color theme="1"/>
        <rFont val="Yu Gothic"/>
        <family val="2"/>
        <scheme val="minor"/>
      </rPr>
      <t>として出力。</t>
    </r>
    <phoneticPr fontId="3"/>
  </si>
  <si>
    <t>1. 読み込み</t>
  </si>
  <si>
    <t>2. 数値列への変換</t>
  </si>
  <si>
    <r>
      <t>Temperature (C)</t>
    </r>
    <r>
      <rPr>
        <sz val="11"/>
        <color theme="1"/>
        <rFont val="Yu Gothic"/>
        <family val="2"/>
        <scheme val="minor"/>
      </rPr>
      <t xml:space="preserve">, </t>
    </r>
    <r>
      <rPr>
        <sz val="10"/>
        <color theme="1"/>
        <rFont val="Arial Unicode MS"/>
        <family val="2"/>
      </rPr>
      <t>Temperature (K)</t>
    </r>
    <r>
      <rPr>
        <sz val="11"/>
        <color theme="1"/>
        <rFont val="Yu Gothic"/>
        <family val="2"/>
        <scheme val="minor"/>
      </rPr>
      <t xml:space="preserve">, </t>
    </r>
    <r>
      <rPr>
        <sz val="10"/>
        <color theme="1"/>
        <rFont val="Arial Unicode MS"/>
        <family val="2"/>
      </rPr>
      <t>Resistivity (Ohm)</t>
    </r>
    <r>
      <rPr>
        <sz val="11"/>
        <color theme="1"/>
        <rFont val="Yu Gothic"/>
        <family val="2"/>
        <scheme val="minor"/>
      </rPr>
      <t xml:space="preserve">, </t>
    </r>
    <r>
      <rPr>
        <sz val="10"/>
        <color theme="1"/>
        <rFont val="Arial Unicode MS"/>
        <family val="2"/>
      </rPr>
      <t>Conductivity (S/cm)</t>
    </r>
    <r>
      <rPr>
        <sz val="11"/>
        <color theme="1"/>
        <rFont val="Yu Gothic"/>
        <family val="2"/>
        <scheme val="minor"/>
      </rPr>
      <t xml:space="preserve">, </t>
    </r>
    <r>
      <rPr>
        <sz val="10"/>
        <color theme="1"/>
        <rFont val="Arial Unicode MS"/>
        <family val="2"/>
      </rPr>
      <t>1000/T (K^-1)</t>
    </r>
    <r>
      <rPr>
        <sz val="11"/>
        <color theme="1"/>
        <rFont val="Yu Gothic"/>
        <family val="2"/>
        <scheme val="minor"/>
      </rPr>
      <t xml:space="preserve">, </t>
    </r>
    <r>
      <rPr>
        <sz val="10"/>
        <color theme="1"/>
        <rFont val="Arial Unicode MS"/>
        <family val="2"/>
      </rPr>
      <t>log sigma (S cm^-1)</t>
    </r>
    <r>
      <rPr>
        <sz val="11"/>
        <color theme="1"/>
        <rFont val="Yu Gothic"/>
        <family val="2"/>
        <scheme val="minor"/>
      </rPr>
      <t xml:space="preserve">, </t>
    </r>
    <r>
      <rPr>
        <sz val="10"/>
        <color theme="1"/>
        <rFont val="Arial Unicode MS"/>
        <family val="2"/>
      </rPr>
      <t>log sigma T (K S cm^-1)</t>
    </r>
    <r>
      <rPr>
        <sz val="11"/>
        <color theme="1"/>
        <rFont val="Yu Gothic"/>
        <family val="2"/>
        <scheme val="minor"/>
      </rPr>
      <t xml:space="preserve"> へ </t>
    </r>
    <r>
      <rPr>
        <sz val="10"/>
        <color theme="1"/>
        <rFont val="Arial Unicode MS"/>
        <family val="2"/>
      </rPr>
      <t>pd.to_numeric(..., errors='coerce')</t>
    </r>
    <r>
      <rPr>
        <sz val="11"/>
        <color theme="1"/>
        <rFont val="Yu Gothic"/>
        <family val="2"/>
        <scheme val="minor"/>
      </rPr>
      <t xml:space="preserve"> を適用し、欠損は </t>
    </r>
    <r>
      <rPr>
        <sz val="10"/>
        <color theme="1"/>
        <rFont val="Arial Unicode MS"/>
        <family val="2"/>
      </rPr>
      <t>NaN</t>
    </r>
    <r>
      <rPr>
        <sz val="11"/>
        <color theme="1"/>
        <rFont val="Yu Gothic"/>
        <family val="2"/>
        <scheme val="minor"/>
      </rPr>
      <t xml:space="preserve"> に。</t>
    </r>
  </si>
  <si>
    <t>3. 温度の相互補完</t>
  </si>
  <si>
    <r>
      <t>どちらかが欠けているときは、</t>
    </r>
    <r>
      <rPr>
        <sz val="10"/>
        <color theme="1"/>
        <rFont val="Arial Unicode MS"/>
        <family val="2"/>
      </rPr>
      <t>K = C + 273.15</t>
    </r>
    <r>
      <rPr>
        <sz val="11"/>
        <color theme="1"/>
        <rFont val="Yu Gothic"/>
        <family val="2"/>
        <scheme val="minor"/>
      </rPr>
      <t>（逆も同様）で計算し、文字列として元の DataFrame に書き戻す。</t>
    </r>
  </si>
  <si>
    <t>4. 派生列の計算</t>
  </si>
  <si>
    <r>
      <t>1000/T</t>
    </r>
    <r>
      <rPr>
        <sz val="11"/>
        <color theme="1"/>
        <rFont val="Yu Gothic"/>
        <family val="2"/>
        <scheme val="minor"/>
      </rPr>
      <t>：</t>
    </r>
    <r>
      <rPr>
        <sz val="10"/>
        <color theme="1"/>
        <rFont val="Arial Unicode MS"/>
        <family val="2"/>
      </rPr>
      <t>1000.0 / T(K)</t>
    </r>
    <r>
      <rPr>
        <sz val="11"/>
        <color theme="1"/>
        <rFont val="Yu Gothic"/>
        <family val="2"/>
        <scheme val="minor"/>
      </rPr>
      <t xml:space="preserve"> が NaN の場合に計算して文字列で格納。</t>
    </r>
  </si>
  <si>
    <r>
      <t>log σ</t>
    </r>
    <r>
      <rPr>
        <sz val="11"/>
        <color theme="1"/>
        <rFont val="Yu Gothic"/>
        <family val="2"/>
        <scheme val="minor"/>
      </rPr>
      <t>：</t>
    </r>
    <r>
      <rPr>
        <sz val="10"/>
        <color theme="1"/>
        <rFont val="Arial Unicode MS"/>
        <family val="2"/>
      </rPr>
      <t>Conductivity &gt; 0</t>
    </r>
    <r>
      <rPr>
        <sz val="11"/>
        <color theme="1"/>
        <rFont val="Yu Gothic"/>
        <family val="2"/>
        <scheme val="minor"/>
      </rPr>
      <t xml:space="preserve"> なら </t>
    </r>
    <r>
      <rPr>
        <sz val="10"/>
        <color theme="1"/>
        <rFont val="Arial Unicode MS"/>
        <family val="2"/>
      </rPr>
      <t>log10(Conductivity)</t>
    </r>
    <r>
      <rPr>
        <sz val="11"/>
        <color theme="1"/>
        <rFont val="Yu Gothic"/>
        <family val="2"/>
        <scheme val="minor"/>
      </rPr>
      <t xml:space="preserve"> を計算し文字列で格納。</t>
    </r>
  </si>
  <si>
    <r>
      <t>log σ T</t>
    </r>
    <r>
      <rPr>
        <sz val="11"/>
        <color theme="1"/>
        <rFont val="Yu Gothic"/>
        <family val="2"/>
        <scheme val="minor"/>
      </rPr>
      <t>：</t>
    </r>
    <r>
      <rPr>
        <sz val="10"/>
        <color theme="1"/>
        <rFont val="Arial Unicode MS"/>
        <family val="2"/>
      </rPr>
      <t>Conductivity &gt; 0</t>
    </r>
    <r>
      <rPr>
        <sz val="11"/>
        <color theme="1"/>
        <rFont val="Yu Gothic"/>
        <family val="2"/>
        <scheme val="minor"/>
      </rPr>
      <t xml:space="preserve"> なら </t>
    </r>
    <r>
      <rPr>
        <sz val="10"/>
        <color theme="1"/>
        <rFont val="Arial Unicode MS"/>
        <family val="2"/>
      </rPr>
      <t>log10(Conductivity * T(K))</t>
    </r>
    <r>
      <rPr>
        <sz val="11"/>
        <color theme="1"/>
        <rFont val="Yu Gothic"/>
        <family val="2"/>
        <scheme val="minor"/>
      </rPr>
      <t xml:space="preserve"> を計算し文字列で格納。</t>
    </r>
  </si>
  <si>
    <t>5. 列名の正規化</t>
  </si>
  <si>
    <t>6. 結果</t>
  </si>
  <si>
    <t>欠損が補完された DataFrame が返り、温度・1000/T・log 系の全列が揃っている。</t>
  </si>
  <si>
    <t>導電率 CSV の欠損値補完</t>
    <phoneticPr fontId="3"/>
  </si>
  <si>
    <t>CSV を文字列型だけで読み込み、列名に BOM があれば除去。</t>
    <phoneticPr fontId="3"/>
  </si>
  <si>
    <r>
      <t>log sigma (S cm^-1)</t>
    </r>
    <r>
      <rPr>
        <sz val="11"/>
        <color theme="1"/>
        <rFont val="Yu Gothic"/>
        <family val="2"/>
        <scheme val="minor"/>
      </rPr>
      <t xml:space="preserve"> と </t>
    </r>
    <r>
      <rPr>
        <sz val="10"/>
        <color theme="1"/>
        <rFont val="Arial Unicode MS"/>
        <family val="2"/>
      </rPr>
      <t>log sigma T (K S cm^-1)</t>
    </r>
    <r>
      <rPr>
        <sz val="11"/>
        <color theme="1"/>
        <rFont val="Yu Gothic"/>
        <family val="2"/>
        <scheme val="minor"/>
      </rPr>
      <t xml:space="preserve"> をそれぞれ </t>
    </r>
    <r>
      <rPr>
        <sz val="10"/>
        <color theme="1"/>
        <rFont val="Arial Unicode MS"/>
        <family val="2"/>
      </rPr>
      <t xml:space="preserve">log σ (S cm^-1) </t>
    </r>
    <r>
      <rPr>
        <sz val="10"/>
        <color theme="1"/>
        <rFont val="ＭＳ ゴシック"/>
        <family val="3"/>
        <charset val="128"/>
      </rPr>
      <t>と</t>
    </r>
    <r>
      <rPr>
        <sz val="10"/>
        <color theme="1"/>
        <rFont val="Arial"/>
        <family val="2"/>
      </rPr>
      <t xml:space="preserve"> log σ T (K S cm^-1) </t>
    </r>
    <r>
      <rPr>
        <sz val="10"/>
        <color theme="1"/>
        <rFont val="ＭＳ ゴシック"/>
        <family val="3"/>
        <charset val="128"/>
      </rPr>
      <t>にリネーム（ギリシャ文字</t>
    </r>
    <r>
      <rPr>
        <sz val="10"/>
        <color theme="1"/>
        <rFont val="Arial"/>
        <family val="2"/>
      </rPr>
      <t xml:space="preserve"> σ </t>
    </r>
    <r>
      <rPr>
        <sz val="10"/>
        <color theme="1"/>
        <rFont val="ＭＳ ゴシック"/>
        <family val="3"/>
        <charset val="128"/>
      </rPr>
      <t>を使用）。</t>
    </r>
    <phoneticPr fontId="3"/>
  </si>
  <si>
    <r>
      <t xml:space="preserve">補完後は  </t>
    </r>
    <r>
      <rPr>
        <sz val="10"/>
        <color theme="1"/>
        <rFont val="Arial Unicode MS"/>
        <family val="2"/>
      </rPr>
      <t>*_calc.csv</t>
    </r>
    <r>
      <rPr>
        <sz val="11"/>
        <color theme="1"/>
        <rFont val="Yu Gothic"/>
        <family val="2"/>
        <scheme val="minor"/>
      </rPr>
      <t xml:space="preserve"> として保存する。</t>
    </r>
    <phoneticPr fontId="3"/>
  </si>
  <si>
    <t>シート下部の「インピーダンス規格化」を参照</t>
    <rPh sb="3" eb="5">
      <t>カブ</t>
    </rPh>
    <rPh sb="13" eb="16">
      <t>キカクカ</t>
    </rPh>
    <rPh sb="18" eb="20">
      <t>サンショウ</t>
    </rPh>
    <phoneticPr fontId="3"/>
  </si>
  <si>
    <t>シート下部の「インピーダンスファイルの欠損値補完」を参照</t>
    <phoneticPr fontId="3"/>
  </si>
  <si>
    <t>シート下部の「導電率 CSV の欠損値補完」を参照</t>
    <rPh sb="3" eb="5">
      <t>カブ</t>
    </rPh>
    <rPh sb="22" eb="24">
      <t>サンショウ</t>
    </rPh>
    <phoneticPr fontId="3"/>
  </si>
  <si>
    <t>導電率データファイルのうちフィッティングに使用したデータ（行）のみを抽出</t>
    <rPh sb="29" eb="30">
      <t>ギョウ</t>
    </rPh>
    <rPh sb="34" eb="36">
      <t>チュウシュツ</t>
    </rPh>
    <phoneticPr fontId="3"/>
  </si>
  <si>
    <t>インピーダンス規格化</t>
    <rPh sb="7" eb="10">
      <t>キカクカ</t>
    </rPh>
    <phoneticPr fontId="3"/>
  </si>
  <si>
    <t>送り状で直径・面積・厚さを入力すると、面積 ÷ 厚さ（A/L）を計算し、これを規格化係数として使います。</t>
  </si>
  <si>
    <t>2. 規格化の適用</t>
  </si>
  <si>
    <t>規格化後のデータは *_norm.csv（例：SAMPLE25.mpt_norm.csv）として保存します。</t>
  </si>
  <si>
    <t>係数が取得できなかった場合は規格化を行わず、通常の *_calc.csv だけが出力されます。</t>
  </si>
  <si>
    <t>インピーダンスデータの欠損値補完</t>
    <phoneticPr fontId="3"/>
  </si>
  <si>
    <t>|Z| と Phase が無い場合は計算</t>
    <phoneticPr fontId="3"/>
  </si>
  <si>
    <t>conductivity_gb_arrhenius_log_sigma.png</t>
    <phoneticPr fontId="3"/>
  </si>
  <si>
    <t>conductivity_gb_arrhenius_log_sigma_t.png</t>
    <phoneticPr fontId="3"/>
  </si>
  <si>
    <t>log σ を用いた導電率成分別(total,bulk,gb)の Arrhenius プロットと近似線
（Grain-Boundary 導電率データが入力された場合のみ出力）</t>
    <phoneticPr fontId="3"/>
  </si>
  <si>
    <t>log σT を用いた導電率成分別(total,bulk,gb)の Arrhenius プロットと近似線
（Grain-Boundary導電率データが入力された場合のみ出力）</t>
    <phoneticPr fontId="3"/>
  </si>
  <si>
    <t>log σT を用いた導電率成分別(total,bulk,gb)の Arrhenius プロットと近似線
（Bulk 導電率データが入力された場合のみ出力）</t>
    <phoneticPr fontId="3"/>
  </si>
  <si>
    <t>log σ を用いた導電率成分別(total,bulk,gb)の Arrhenius プロットと近似線
（Bulk 導電率データが入力された場合のみ出力）</t>
    <phoneticPr fontId="3"/>
  </si>
  <si>
    <t>log σT を用いた導電率成分別(total,bulk,gb)の Arrhenius プロットと近似線
（Total 導電率データが入力された場合のみ出力）</t>
    <phoneticPr fontId="3"/>
  </si>
  <si>
    <t>log σ を用いた導電率成分別(total,bulk,gb)の Arrhenius プロットと近似線
（Total 導電率データが入力された場合のみ出力）</t>
    <phoneticPr fontId="3"/>
  </si>
  <si>
    <t>manufacture</t>
    <phoneticPr fontId="3"/>
  </si>
  <si>
    <t>装置メーカー名</t>
    <rPh sb="0" eb="2">
      <t>ソウチ</t>
    </rPh>
    <rPh sb="6" eb="7">
      <t>メイ</t>
    </rPh>
    <phoneticPr fontId="3"/>
  </si>
  <si>
    <t>Biologic' or 'Scribner' or 'Custom'</t>
    <phoneticPr fontId="3"/>
  </si>
  <si>
    <t>川岸</t>
    <rPh sb="0" eb="2">
      <t>カワギシ</t>
    </rPh>
    <phoneticPr fontId="3"/>
  </si>
  <si>
    <t>項目(設定ファイル)の編集</t>
    <rPh sb="0" eb="2">
      <t>コウモク</t>
    </rPh>
    <rPh sb="3" eb="5">
      <t>セッテイ</t>
    </rPh>
    <rPh sb="11" eb="13">
      <t>ヘンシュウ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</si>
</sst>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3"/>
      <charset val="128"/>
      <scheme val="minor"/>
    </font>
    <font>
      <sz val="6"/>
      <name val="Yu Gothic"/>
      <family val="3"/>
      <charset val="128"/>
      <scheme val="minor"/>
    </font>
    <font>
      <sz val="11"/>
      <color rgb="FF000000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sz val="11"/>
      <color theme="1"/>
      <name val="Yu Gothic"/>
      <family val="2"/>
      <charset val="128"/>
    </font>
    <font>
      <sz val="11"/>
      <name val="BIZ UDP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rgb="FFFF0000"/>
      <name val="Yu Gothic"/>
      <family val="3"/>
      <charset val="128"/>
      <scheme val="minor"/>
    </font>
    <font>
      <sz val="12"/>
      <name val="Yu Gothic"/>
      <family val="3"/>
      <charset val="128"/>
      <scheme val="minor"/>
    </font>
    <font>
      <sz val="11"/>
      <name val="Yu Gothic"/>
      <family val="3"/>
      <charset val="128"/>
      <scheme val="minor"/>
    </font>
    <font>
      <b/>
      <sz val="11"/>
      <color rgb="FFFF0000"/>
      <name val="Yu Gothic"/>
      <family val="3"/>
      <charset val="128"/>
      <scheme val="minor"/>
    </font>
    <font>
      <sz val="14"/>
      <color theme="1"/>
      <name val="游明朝"/>
      <family val="1"/>
      <charset val="128"/>
    </font>
    <font>
      <sz val="6"/>
      <name val="Yu Gothic"/>
      <family val="2"/>
      <charset val="128"/>
      <scheme val="minor"/>
    </font>
    <font>
      <sz val="11"/>
      <color theme="1"/>
      <name val="游明朝"/>
      <family val="1"/>
      <charset val="128"/>
    </font>
    <font>
      <sz val="11"/>
      <color theme="0"/>
      <name val="游明朝"/>
      <family val="1"/>
      <charset val="128"/>
    </font>
    <font>
      <sz val="10"/>
      <color theme="1"/>
      <name val="游明朝"/>
      <family val="1"/>
      <charset val="128"/>
    </font>
    <font>
      <b/>
      <sz val="12"/>
      <color rgb="FFFFFFFF"/>
      <name val="Yu Gothic"/>
      <family val="3"/>
      <charset val="128"/>
    </font>
    <font>
      <b/>
      <sz val="11"/>
      <color rgb="FFFFFFFF"/>
      <name val="Yu Gothic"/>
      <family val="3"/>
      <charset val="128"/>
    </font>
    <font>
      <sz val="11"/>
      <name val="Yu Gothic"/>
      <family val="3"/>
      <charset val="128"/>
    </font>
    <font>
      <sz val="10"/>
      <name val="Yu Gothic"/>
      <family val="3"/>
      <charset val="128"/>
    </font>
    <font>
      <b/>
      <sz val="11"/>
      <color rgb="FF000000"/>
      <name val="Yu Gothic"/>
      <family val="3"/>
      <charset val="128"/>
    </font>
    <font>
      <sz val="11"/>
      <color rgb="FF000000"/>
      <name val="Yu Gothic"/>
      <family val="3"/>
      <charset val="128"/>
    </font>
    <font>
      <b/>
      <sz val="11"/>
      <color rgb="FFFF0000"/>
      <name val="Yu Gothic"/>
      <family val="3"/>
      <charset val="128"/>
    </font>
    <font>
      <sz val="10"/>
      <color theme="1"/>
      <name val="Arial Unicode MS"/>
      <family val="2"/>
    </font>
    <font>
      <sz val="10"/>
      <color theme="1"/>
      <name val="ＭＳ ゴシック"/>
      <family val="3"/>
      <charset val="128"/>
    </font>
    <font>
      <sz val="10"/>
      <color theme="1"/>
      <name val="Arial"/>
      <family val="2"/>
    </font>
    <font>
      <b/>
      <sz val="14"/>
      <color theme="1"/>
      <name val="Yu Gothic"/>
      <family val="3"/>
      <charset val="128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167F92"/>
        <bgColor rgb="FF5B9BD5"/>
      </patternFill>
    </fill>
    <fill>
      <patternFill patternType="solid">
        <fgColor rgb="FF6DB2BF"/>
        <bgColor rgb="FFDDEBF7"/>
      </patternFill>
    </fill>
    <fill>
      <patternFill patternType="solid">
        <fgColor rgb="FFE2F0F3"/>
        <bgColor rgb="FFDDEBF7"/>
      </patternFill>
    </fill>
    <fill>
      <patternFill patternType="solid">
        <fgColor rgb="FF6DB2BF"/>
        <bgColor rgb="FF000000"/>
      </patternFill>
    </fill>
    <fill>
      <patternFill patternType="solid">
        <fgColor rgb="FF9CCBD4"/>
        <bgColor rgb="FF000000"/>
      </patternFill>
    </fill>
    <fill>
      <patternFill patternType="solid">
        <fgColor rgb="FFE2F0F3"/>
        <bgColor rgb="FF000000"/>
      </patternFill>
    </fill>
    <fill>
      <patternFill patternType="solid">
        <fgColor theme="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/>
      <bottom style="thin">
        <color rgb="FFFFFFFF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indexed="64"/>
      </right>
      <top/>
      <bottom style="medium">
        <color theme="1"/>
      </bottom>
      <diagonal/>
    </border>
  </borders>
  <cellStyleXfs count="4">
    <xf numFmtId="0" fontId="0" fillId="0" borderId="0"/>
    <xf numFmtId="0" fontId="7" fillId="0" borderId="0"/>
    <xf numFmtId="0" fontId="8" fillId="0" borderId="0"/>
    <xf numFmtId="0" fontId="1" fillId="0" borderId="0">
      <alignment vertical="center"/>
    </xf>
  </cellStyleXfs>
  <cellXfs count="152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4" fillId="2" borderId="1" xfId="0" applyFont="1" applyFill="1" applyBorder="1" applyAlignment="1">
      <alignment wrapText="1"/>
    </xf>
    <xf numFmtId="0" fontId="2" fillId="2" borderId="1" xfId="0" applyFont="1" applyFill="1" applyBorder="1"/>
    <xf numFmtId="0" fontId="4" fillId="2" borderId="1" xfId="0" applyFont="1" applyFill="1" applyBorder="1"/>
    <xf numFmtId="49" fontId="2" fillId="2" borderId="1" xfId="0" applyNumberFormat="1" applyFont="1" applyFill="1" applyBorder="1" applyAlignment="1">
      <alignment horizontal="left" wrapText="1"/>
    </xf>
    <xf numFmtId="0" fontId="2" fillId="2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2" fillId="0" borderId="1" xfId="0" applyFont="1" applyBorder="1"/>
    <xf numFmtId="0" fontId="4" fillId="0" borderId="1" xfId="0" applyFont="1" applyBorder="1"/>
    <xf numFmtId="49" fontId="2" fillId="0" borderId="1" xfId="0" applyNumberFormat="1" applyFont="1" applyBorder="1" applyAlignment="1">
      <alignment horizontal="left" wrapText="1"/>
    </xf>
    <xf numFmtId="0" fontId="2" fillId="0" borderId="1" xfId="0" applyFont="1" applyBorder="1" applyAlignment="1">
      <alignment wrapText="1"/>
    </xf>
    <xf numFmtId="0" fontId="2" fillId="0" borderId="2" xfId="0" applyFont="1" applyBorder="1"/>
    <xf numFmtId="0" fontId="4" fillId="0" borderId="2" xfId="0" applyFont="1" applyBorder="1"/>
    <xf numFmtId="0" fontId="6" fillId="0" borderId="1" xfId="0" applyFont="1" applyBorder="1"/>
    <xf numFmtId="0" fontId="2" fillId="3" borderId="0" xfId="0" applyFont="1" applyFill="1"/>
    <xf numFmtId="0" fontId="2" fillId="0" borderId="0" xfId="0" applyFont="1" applyAlignment="1">
      <alignment horizontal="center"/>
    </xf>
    <xf numFmtId="0" fontId="4" fillId="2" borderId="5" xfId="0" applyFont="1" applyFill="1" applyBorder="1" applyAlignment="1">
      <alignment wrapText="1"/>
    </xf>
    <xf numFmtId="0" fontId="4" fillId="2" borderId="6" xfId="0" applyFont="1" applyFill="1" applyBorder="1" applyAlignment="1">
      <alignment horizontal="center" wrapText="1"/>
    </xf>
    <xf numFmtId="0" fontId="4" fillId="2" borderId="6" xfId="0" applyFont="1" applyFill="1" applyBorder="1"/>
    <xf numFmtId="0" fontId="4" fillId="2" borderId="6" xfId="0" applyFont="1" applyFill="1" applyBorder="1" applyAlignment="1">
      <alignment wrapText="1"/>
    </xf>
    <xf numFmtId="0" fontId="2" fillId="2" borderId="6" xfId="0" applyFont="1" applyFill="1" applyBorder="1"/>
    <xf numFmtId="49" fontId="2" fillId="2" borderId="7" xfId="0" applyNumberFormat="1" applyFont="1" applyFill="1" applyBorder="1" applyAlignment="1">
      <alignment horizontal="left" wrapText="1"/>
    </xf>
    <xf numFmtId="0" fontId="4" fillId="0" borderId="8" xfId="0" applyFont="1" applyBorder="1"/>
    <xf numFmtId="0" fontId="4" fillId="0" borderId="9" xfId="0" applyFont="1" applyBorder="1" applyAlignment="1">
      <alignment horizontal="center"/>
    </xf>
    <xf numFmtId="0" fontId="4" fillId="0" borderId="9" xfId="0" applyFont="1" applyBorder="1"/>
    <xf numFmtId="0" fontId="2" fillId="0" borderId="9" xfId="0" applyFont="1" applyBorder="1"/>
    <xf numFmtId="49" fontId="2" fillId="0" borderId="10" xfId="0" applyNumberFormat="1" applyFont="1" applyBorder="1" applyAlignment="1">
      <alignment horizontal="left"/>
    </xf>
    <xf numFmtId="0" fontId="4" fillId="4" borderId="3" xfId="0" applyFont="1" applyFill="1" applyBorder="1"/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/>
    <xf numFmtId="0" fontId="2" fillId="4" borderId="1" xfId="0" applyFont="1" applyFill="1" applyBorder="1"/>
    <xf numFmtId="49" fontId="2" fillId="4" borderId="11" xfId="0" applyNumberFormat="1" applyFont="1" applyFill="1" applyBorder="1" applyAlignment="1">
      <alignment horizontal="left"/>
    </xf>
    <xf numFmtId="49" fontId="2" fillId="0" borderId="11" xfId="0" applyNumberFormat="1" applyFont="1" applyBorder="1" applyAlignment="1">
      <alignment horizontal="left"/>
    </xf>
    <xf numFmtId="0" fontId="4" fillId="0" borderId="3" xfId="0" applyFont="1" applyBorder="1"/>
    <xf numFmtId="0" fontId="4" fillId="0" borderId="1" xfId="0" applyFont="1" applyBorder="1" applyAlignment="1">
      <alignment horizontal="center"/>
    </xf>
    <xf numFmtId="0" fontId="4" fillId="0" borderId="12" xfId="0" applyFont="1" applyBorder="1"/>
    <xf numFmtId="0" fontId="4" fillId="0" borderId="13" xfId="0" applyFont="1" applyBorder="1" applyAlignment="1">
      <alignment horizontal="center"/>
    </xf>
    <xf numFmtId="0" fontId="4" fillId="0" borderId="13" xfId="0" applyFont="1" applyBorder="1"/>
    <xf numFmtId="0" fontId="2" fillId="0" borderId="13" xfId="0" applyFont="1" applyBorder="1"/>
    <xf numFmtId="49" fontId="2" fillId="0" borderId="14" xfId="0" applyNumberFormat="1" applyFont="1" applyBorder="1" applyAlignment="1">
      <alignment horizontal="left" wrapText="1"/>
    </xf>
    <xf numFmtId="49" fontId="2" fillId="0" borderId="14" xfId="0" applyNumberFormat="1" applyFont="1" applyBorder="1" applyAlignment="1">
      <alignment horizontal="left"/>
    </xf>
    <xf numFmtId="0" fontId="4" fillId="0" borderId="9" xfId="2" applyFont="1" applyBorder="1"/>
    <xf numFmtId="0" fontId="5" fillId="0" borderId="1" xfId="0" applyFont="1" applyBorder="1"/>
    <xf numFmtId="0" fontId="4" fillId="0" borderId="4" xfId="2" applyFont="1" applyBorder="1"/>
    <xf numFmtId="0" fontId="9" fillId="0" borderId="0" xfId="0" applyFont="1"/>
    <xf numFmtId="0" fontId="0" fillId="0" borderId="11" xfId="0" applyBorder="1"/>
    <xf numFmtId="49" fontId="2" fillId="0" borderId="16" xfId="0" applyNumberFormat="1" applyFont="1" applyBorder="1" applyAlignment="1">
      <alignment horizontal="left"/>
    </xf>
    <xf numFmtId="0" fontId="4" fillId="0" borderId="17" xfId="0" applyFont="1" applyBorder="1"/>
    <xf numFmtId="0" fontId="4" fillId="0" borderId="2" xfId="0" applyFont="1" applyBorder="1" applyAlignment="1">
      <alignment horizontal="center"/>
    </xf>
    <xf numFmtId="49" fontId="2" fillId="0" borderId="18" xfId="0" applyNumberFormat="1" applyFont="1" applyBorder="1" applyAlignment="1">
      <alignment horizontal="left"/>
    </xf>
    <xf numFmtId="0" fontId="4" fillId="0" borderId="17" xfId="0" applyFont="1" applyBorder="1" applyAlignment="1">
      <alignment vertical="top"/>
    </xf>
    <xf numFmtId="0" fontId="4" fillId="0" borderId="2" xfId="0" applyFont="1" applyBorder="1" applyAlignment="1">
      <alignment horizontal="center" vertical="top"/>
    </xf>
    <xf numFmtId="0" fontId="4" fillId="0" borderId="2" xfId="0" applyFont="1" applyBorder="1" applyAlignment="1">
      <alignment vertical="top"/>
    </xf>
    <xf numFmtId="0" fontId="2" fillId="0" borderId="2" xfId="0" applyFont="1" applyBorder="1" applyAlignment="1">
      <alignment vertical="top"/>
    </xf>
    <xf numFmtId="49" fontId="2" fillId="0" borderId="18" xfId="0" applyNumberFormat="1" applyFont="1" applyBorder="1" applyAlignment="1">
      <alignment horizontal="left" vertical="top"/>
    </xf>
    <xf numFmtId="49" fontId="2" fillId="0" borderId="18" xfId="0" applyNumberFormat="1" applyFont="1" applyBorder="1" applyAlignment="1">
      <alignment horizontal="left" wrapText="1"/>
    </xf>
    <xf numFmtId="49" fontId="4" fillId="0" borderId="14" xfId="0" applyNumberFormat="1" applyFont="1" applyBorder="1" applyAlignment="1">
      <alignment horizontal="left"/>
    </xf>
    <xf numFmtId="0" fontId="10" fillId="0" borderId="0" xfId="0" applyFont="1"/>
    <xf numFmtId="0" fontId="11" fillId="0" borderId="1" xfId="0" applyFont="1" applyBorder="1" applyAlignment="1">
      <alignment vertical="center"/>
    </xf>
    <xf numFmtId="0" fontId="11" fillId="0" borderId="1" xfId="0" applyFont="1" applyBorder="1"/>
    <xf numFmtId="0" fontId="11" fillId="0" borderId="1" xfId="0" quotePrefix="1" applyFont="1" applyBorder="1"/>
    <xf numFmtId="0" fontId="12" fillId="0" borderId="1" xfId="0" applyFont="1" applyBorder="1"/>
    <xf numFmtId="0" fontId="11" fillId="0" borderId="0" xfId="0" applyFont="1"/>
    <xf numFmtId="0" fontId="13" fillId="5" borderId="0" xfId="3" applyFont="1" applyFill="1">
      <alignment vertical="center"/>
    </xf>
    <xf numFmtId="0" fontId="13" fillId="5" borderId="0" xfId="3" applyFont="1" applyFill="1" applyAlignment="1">
      <alignment vertical="center" wrapText="1"/>
    </xf>
    <xf numFmtId="0" fontId="15" fillId="5" borderId="0" xfId="3" applyFont="1" applyFill="1">
      <alignment vertical="center"/>
    </xf>
    <xf numFmtId="0" fontId="15" fillId="5" borderId="0" xfId="3" applyFont="1" applyFill="1" applyAlignment="1">
      <alignment vertical="center" wrapText="1"/>
    </xf>
    <xf numFmtId="0" fontId="16" fillId="6" borderId="1" xfId="3" applyFont="1" applyFill="1" applyBorder="1">
      <alignment vertical="center"/>
    </xf>
    <xf numFmtId="0" fontId="16" fillId="6" borderId="1" xfId="3" applyFont="1" applyFill="1" applyBorder="1" applyAlignment="1">
      <alignment vertical="center" wrapText="1"/>
    </xf>
    <xf numFmtId="14" fontId="15" fillId="5" borderId="1" xfId="3" quotePrefix="1" applyNumberFormat="1" applyFont="1" applyFill="1" applyBorder="1">
      <alignment vertical="center"/>
    </xf>
    <xf numFmtId="0" fontId="15" fillId="5" borderId="1" xfId="3" applyFont="1" applyFill="1" applyBorder="1">
      <alignment vertical="center"/>
    </xf>
    <xf numFmtId="0" fontId="15" fillId="5" borderId="1" xfId="3" applyFont="1" applyFill="1" applyBorder="1" applyAlignment="1">
      <alignment vertical="center" wrapText="1"/>
    </xf>
    <xf numFmtId="0" fontId="15" fillId="5" borderId="1" xfId="3" quotePrefix="1" applyFont="1" applyFill="1" applyBorder="1">
      <alignment vertical="center"/>
    </xf>
    <xf numFmtId="14" fontId="15" fillId="5" borderId="1" xfId="3" quotePrefix="1" applyNumberFormat="1" applyFont="1" applyFill="1" applyBorder="1" applyAlignment="1">
      <alignment horizontal="right" vertical="center"/>
    </xf>
    <xf numFmtId="0" fontId="15" fillId="5" borderId="1" xfId="3" quotePrefix="1" applyFont="1" applyFill="1" applyBorder="1" applyAlignment="1">
      <alignment vertical="center" wrapText="1"/>
    </xf>
    <xf numFmtId="0" fontId="17" fillId="5" borderId="0" xfId="3" applyFont="1" applyFill="1">
      <alignment vertical="center"/>
    </xf>
    <xf numFmtId="0" fontId="17" fillId="5" borderId="0" xfId="3" applyFont="1" applyFill="1" applyAlignment="1">
      <alignment vertical="center" wrapText="1"/>
    </xf>
    <xf numFmtId="0" fontId="18" fillId="0" borderId="19" xfId="0" applyFont="1" applyBorder="1" applyAlignment="1">
      <alignment vertical="top"/>
    </xf>
    <xf numFmtId="0" fontId="18" fillId="7" borderId="20" xfId="0" applyFont="1" applyFill="1" applyBorder="1" applyAlignment="1">
      <alignment vertical="top"/>
    </xf>
    <xf numFmtId="0" fontId="19" fillId="8" borderId="23" xfId="0" applyFont="1" applyFill="1" applyBorder="1" applyAlignment="1">
      <alignment vertical="top"/>
    </xf>
    <xf numFmtId="0" fontId="21" fillId="9" borderId="23" xfId="0" applyFont="1" applyFill="1" applyBorder="1" applyAlignment="1">
      <alignment vertical="top" wrapText="1"/>
    </xf>
    <xf numFmtId="0" fontId="19" fillId="10" borderId="22" xfId="0" applyFont="1" applyFill="1" applyBorder="1" applyAlignment="1">
      <alignment vertical="top"/>
    </xf>
    <xf numFmtId="0" fontId="19" fillId="10" borderId="23" xfId="0" applyFont="1" applyFill="1" applyBorder="1" applyAlignment="1">
      <alignment vertical="top"/>
    </xf>
    <xf numFmtId="0" fontId="22" fillId="11" borderId="23" xfId="0" applyFont="1" applyFill="1" applyBorder="1" applyAlignment="1">
      <alignment vertical="top" wrapText="1"/>
    </xf>
    <xf numFmtId="0" fontId="23" fillId="9" borderId="23" xfId="0" applyFont="1" applyFill="1" applyBorder="1" applyAlignment="1">
      <alignment vertical="top" wrapText="1"/>
    </xf>
    <xf numFmtId="0" fontId="23" fillId="9" borderId="23" xfId="0" quotePrefix="1" applyFont="1" applyFill="1" applyBorder="1" applyAlignment="1">
      <alignment vertical="top" wrapText="1"/>
    </xf>
    <xf numFmtId="0" fontId="20" fillId="12" borderId="23" xfId="0" applyFont="1" applyFill="1" applyBorder="1" applyAlignment="1">
      <alignment vertical="top" wrapText="1"/>
    </xf>
    <xf numFmtId="0" fontId="20" fillId="9" borderId="26" xfId="0" quotePrefix="1" applyFont="1" applyFill="1" applyBorder="1" applyAlignment="1">
      <alignment vertical="center" wrapText="1"/>
    </xf>
    <xf numFmtId="0" fontId="20" fillId="9" borderId="26" xfId="0" applyFont="1" applyFill="1" applyBorder="1" applyAlignment="1">
      <alignment vertical="center" wrapText="1"/>
    </xf>
    <xf numFmtId="0" fontId="20" fillId="9" borderId="23" xfId="0" applyFont="1" applyFill="1" applyBorder="1" applyAlignment="1">
      <alignment vertical="center" wrapText="1"/>
    </xf>
    <xf numFmtId="0" fontId="19" fillId="10" borderId="24" xfId="0" applyFont="1" applyFill="1" applyBorder="1" applyAlignment="1">
      <alignment vertical="top"/>
    </xf>
    <xf numFmtId="0" fontId="19" fillId="10" borderId="25" xfId="0" applyFont="1" applyFill="1" applyBorder="1" applyAlignment="1">
      <alignment vertical="top"/>
    </xf>
    <xf numFmtId="0" fontId="0" fillId="0" borderId="1" xfId="0" applyBorder="1"/>
    <xf numFmtId="0" fontId="0" fillId="13" borderId="1" xfId="0" applyFill="1" applyBorder="1"/>
    <xf numFmtId="0" fontId="5" fillId="0" borderId="0" xfId="0" applyFont="1"/>
    <xf numFmtId="0" fontId="0" fillId="0" borderId="2" xfId="0" applyBorder="1"/>
    <xf numFmtId="0" fontId="0" fillId="0" borderId="15" xfId="0" applyBorder="1"/>
    <xf numFmtId="0" fontId="0" fillId="0" borderId="4" xfId="0" applyBorder="1"/>
    <xf numFmtId="0" fontId="2" fillId="0" borderId="1" xfId="0" applyFont="1" applyBorder="1" applyAlignment="1">
      <alignment horizontal="center"/>
    </xf>
    <xf numFmtId="0" fontId="24" fillId="11" borderId="23" xfId="0" applyFont="1" applyFill="1" applyBorder="1" applyAlignment="1">
      <alignment vertical="top" wrapText="1"/>
    </xf>
    <xf numFmtId="49" fontId="2" fillId="0" borderId="28" xfId="0" applyNumberFormat="1" applyFont="1" applyBorder="1"/>
    <xf numFmtId="49" fontId="2" fillId="0" borderId="29" xfId="0" applyNumberFormat="1" applyFont="1" applyBorder="1"/>
    <xf numFmtId="49" fontId="2" fillId="0" borderId="30" xfId="0" applyNumberFormat="1" applyFont="1" applyBorder="1" applyAlignment="1">
      <alignment horizontal="left"/>
    </xf>
    <xf numFmtId="0" fontId="4" fillId="0" borderId="1" xfId="2" applyFont="1" applyBorder="1"/>
    <xf numFmtId="0" fontId="2" fillId="0" borderId="31" xfId="0" applyFont="1" applyBorder="1"/>
    <xf numFmtId="0" fontId="2" fillId="0" borderId="32" xfId="0" applyFont="1" applyBorder="1"/>
    <xf numFmtId="49" fontId="2" fillId="0" borderId="33" xfId="0" applyNumberFormat="1" applyFont="1" applyBorder="1" applyAlignment="1">
      <alignment horizontal="left"/>
    </xf>
    <xf numFmtId="0" fontId="2" fillId="0" borderId="34" xfId="0" applyFont="1" applyBorder="1"/>
    <xf numFmtId="0" fontId="2" fillId="0" borderId="27" xfId="0" applyFont="1" applyBorder="1"/>
    <xf numFmtId="0" fontId="2" fillId="0" borderId="35" xfId="0" applyFont="1" applyBorder="1"/>
    <xf numFmtId="0" fontId="2" fillId="0" borderId="2" xfId="0" applyFont="1" applyBorder="1" applyAlignment="1">
      <alignment horizontal="center"/>
    </xf>
    <xf numFmtId="0" fontId="4" fillId="0" borderId="2" xfId="2" applyFont="1" applyBorder="1"/>
    <xf numFmtId="0" fontId="2" fillId="0" borderId="36" xfId="0" applyFont="1" applyBorder="1"/>
    <xf numFmtId="0" fontId="4" fillId="0" borderId="27" xfId="0" applyFont="1" applyBorder="1"/>
    <xf numFmtId="0" fontId="2" fillId="0" borderId="27" xfId="0" applyFont="1" applyBorder="1" applyAlignment="1">
      <alignment horizontal="center"/>
    </xf>
    <xf numFmtId="0" fontId="4" fillId="0" borderId="27" xfId="2" applyFont="1" applyBorder="1"/>
    <xf numFmtId="0" fontId="4" fillId="0" borderId="37" xfId="0" applyFont="1" applyBorder="1"/>
    <xf numFmtId="0" fontId="2" fillId="0" borderId="37" xfId="0" applyFont="1" applyBorder="1" applyAlignment="1">
      <alignment horizontal="center"/>
    </xf>
    <xf numFmtId="0" fontId="4" fillId="0" borderId="37" xfId="2" applyFont="1" applyBorder="1"/>
    <xf numFmtId="0" fontId="2" fillId="0" borderId="37" xfId="0" applyFont="1" applyBorder="1"/>
    <xf numFmtId="49" fontId="2" fillId="0" borderId="38" xfId="0" applyNumberFormat="1" applyFont="1" applyBorder="1" applyAlignment="1">
      <alignment horizontal="left"/>
    </xf>
    <xf numFmtId="0" fontId="0" fillId="2" borderId="0" xfId="0" applyFill="1"/>
    <xf numFmtId="0" fontId="5" fillId="2" borderId="0" xfId="0" applyFont="1" applyFill="1" applyAlignment="1">
      <alignment horizontal="left" vertical="center" indent="1"/>
    </xf>
    <xf numFmtId="0" fontId="5" fillId="2" borderId="0" xfId="0" applyFont="1" applyFill="1" applyAlignment="1">
      <alignment horizontal="left" vertical="center" indent="2"/>
    </xf>
    <xf numFmtId="0" fontId="25" fillId="2" borderId="0" xfId="0" applyFont="1" applyFill="1" applyAlignment="1">
      <alignment horizontal="left" vertical="center" indent="3"/>
    </xf>
    <xf numFmtId="0" fontId="0" fillId="2" borderId="0" xfId="0" applyFill="1" applyAlignment="1">
      <alignment horizontal="left" vertical="center" indent="3"/>
    </xf>
    <xf numFmtId="0" fontId="0" fillId="2" borderId="0" xfId="0" applyFill="1" applyAlignment="1">
      <alignment horizontal="left" vertical="center" indent="1"/>
    </xf>
    <xf numFmtId="0" fontId="0" fillId="2" borderId="0" xfId="0" applyFill="1" applyAlignment="1">
      <alignment horizontal="left" vertical="center" indent="2"/>
    </xf>
    <xf numFmtId="0" fontId="25" fillId="2" borderId="0" xfId="0" applyFont="1" applyFill="1" applyAlignment="1">
      <alignment horizontal="left" vertical="center" indent="2"/>
    </xf>
    <xf numFmtId="0" fontId="28" fillId="2" borderId="0" xfId="0" applyFont="1" applyFill="1"/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5" borderId="27" xfId="0" applyFont="1" applyFill="1" applyBorder="1" applyAlignment="1">
      <alignment horizontal="center" vertical="center"/>
    </xf>
    <xf numFmtId="0" fontId="20" fillId="12" borderId="24" xfId="0" applyFont="1" applyFill="1" applyBorder="1" applyAlignment="1">
      <alignment horizontal="left" vertical="top" wrapText="1"/>
    </xf>
    <xf numFmtId="0" fontId="20" fillId="12" borderId="25" xfId="0" applyFont="1" applyFill="1" applyBorder="1" applyAlignment="1">
      <alignment horizontal="left" vertical="top" wrapText="1"/>
    </xf>
    <xf numFmtId="0" fontId="20" fillId="12" borderId="22" xfId="0" applyFont="1" applyFill="1" applyBorder="1" applyAlignment="1">
      <alignment horizontal="left" vertical="top" wrapText="1"/>
    </xf>
    <xf numFmtId="0" fontId="18" fillId="7" borderId="21" xfId="0" applyFont="1" applyFill="1" applyBorder="1" applyAlignment="1">
      <alignment vertical="top" wrapText="1"/>
    </xf>
    <xf numFmtId="0" fontId="18" fillId="7" borderId="20" xfId="0" applyFont="1" applyFill="1" applyBorder="1" applyAlignment="1">
      <alignment vertical="top" wrapText="1"/>
    </xf>
    <xf numFmtId="0" fontId="19" fillId="8" borderId="24" xfId="0" applyFont="1" applyFill="1" applyBorder="1" applyAlignment="1">
      <alignment horizontal="left" vertical="top"/>
    </xf>
    <xf numFmtId="0" fontId="19" fillId="8" borderId="25" xfId="0" applyFont="1" applyFill="1" applyBorder="1" applyAlignment="1">
      <alignment horizontal="left" vertical="top"/>
    </xf>
    <xf numFmtId="0" fontId="19" fillId="8" borderId="22" xfId="0" applyFont="1" applyFill="1" applyBorder="1" applyAlignment="1">
      <alignment horizontal="left" vertical="top"/>
    </xf>
    <xf numFmtId="0" fontId="20" fillId="9" borderId="21" xfId="0" quotePrefix="1" applyFont="1" applyFill="1" applyBorder="1" applyAlignment="1">
      <alignment vertical="center" wrapText="1"/>
    </xf>
    <xf numFmtId="0" fontId="20" fillId="9" borderId="21" xfId="0" applyFont="1" applyFill="1" applyBorder="1" applyAlignment="1">
      <alignment vertical="center" wrapText="1"/>
    </xf>
    <xf numFmtId="0" fontId="20" fillId="9" borderId="20" xfId="0" applyFont="1" applyFill="1" applyBorder="1" applyAlignment="1">
      <alignment vertical="center" wrapText="1"/>
    </xf>
    <xf numFmtId="0" fontId="23" fillId="9" borderId="24" xfId="0" quotePrefix="1" applyFont="1" applyFill="1" applyBorder="1" applyAlignment="1">
      <alignment horizontal="left" vertical="top" wrapText="1"/>
    </xf>
    <xf numFmtId="0" fontId="23" fillId="9" borderId="22" xfId="0" quotePrefix="1" applyFont="1" applyFill="1" applyBorder="1" applyAlignment="1">
      <alignment horizontal="left" vertical="top" wrapText="1"/>
    </xf>
  </cellXfs>
  <cellStyles count="4">
    <cellStyle name="標準" xfId="0" builtinId="0"/>
    <cellStyle name="標準 2" xfId="1" xr:uid="{2F42E189-C193-4FE5-8779-F6B0C0F7DFD4}"/>
    <cellStyle name="標準 2 2" xfId="3" xr:uid="{ACEBC3CE-B593-4914-BA22-4BAEFBCF1D28}"/>
    <cellStyle name="標準 4" xfId="2" xr:uid="{474E818E-BFDE-4937-96B0-98A1260DEC95}"/>
  </cellStyles>
  <dxfs count="6">
    <dxf>
      <font>
        <strike val="0"/>
        <color rgb="FFFF0000"/>
      </font>
      <fill>
        <patternFill>
          <bgColor rgb="FFFFC1C1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strike val="0"/>
        <color rgb="FFFF0000"/>
      </font>
      <fill>
        <patternFill>
          <bgColor rgb="FFFFC1C1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strike val="0"/>
        <color rgb="FFFF0000"/>
      </font>
      <fill>
        <patternFill>
          <bgColor rgb="FFFFC1C1"/>
        </patternFill>
      </fill>
    </dxf>
    <dxf>
      <font>
        <color auto="1"/>
      </font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theme" Target="theme/theme1.xml"/><Relationship Id="rId18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21" Type="http://schemas.microsoft.com/office/2022/10/relationships/richValueRel" Target="richData/richValueRel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4.xml"/><Relationship Id="rId19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DCS-Viewer/&#30707;&#20117;&#12373;&#12435;&#36899;&#25658;/sample/XAFS_excel_invic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sl$\Ubuntu-22.04\Users\nagao\Documents\DCS-Viewer\&#30707;&#20117;&#12373;&#12435;&#36899;&#25658;\sample\XAFS_excel_invic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M-DaC(&#20027;&#35201;&#12497;&#12521;&#12513;&#12540;&#12479;&#31649;&#29702;)/DPF&#12513;&#12479;&#26908;&#35342;200106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sl$\Ubuntu-22.04\Users\nagao\Documents\M-DaC(&#20027;&#35201;&#12497;&#12521;&#12513;&#12540;&#12479;&#31649;&#29702;)\DPF&#12513;&#12479;&#26908;&#35342;200106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wnloads/DCS&#30331;&#37682;&#29992;&#12486;&#12531;&#12503;&#12524;&#12540;&#12488;_mi20200809-20210406&#20462;&#27491;-MDR&#36861;&#21152;&#29256;%20(1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imsgojp-my.sharepoint.com/personal/nagao_hiroko_nims_go_jp/Documents/Microsoft%20Teams%20&#12481;&#12515;&#12483;&#12488;%20&#12501;&#12449;&#12452;&#12523;/DCS&#30331;&#37682;&#29992;&#12486;&#12531;&#12503;&#12524;&#12540;&#12488;_mi20200809-20210406&#20462;&#27491;-MDR&#36861;&#21152;&#29256;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ndatory_item"/>
      <sheetName val="必須メタ案-ユースケース（計算）"/>
      <sheetName val="必須メタ案-ユースケース（ナノプラ）"/>
      <sheetName val="必須メタ案-WG検討"/>
      <sheetName val="InPutMode"/>
      <sheetName val="物質材料（試料）メタ"/>
      <sheetName val="試料記述詳細版"/>
      <sheetName val="試料記述超簡易版"/>
      <sheetName val="特性メタ"/>
      <sheetName val="計測メタ"/>
      <sheetName val="合成・プロセスメタ"/>
      <sheetName val="計算メタ"/>
      <sheetName val="original"/>
      <sheetName val="original (mod)"/>
      <sheetName val="original (mod) (2)Eng"/>
      <sheetName val="original (mod) (2)Jpn"/>
      <sheetName val="data origin"/>
      <sheetName val="Material types"/>
      <sheetName val="Structural features"/>
      <sheetName val="Properties addressed"/>
      <sheetName val="Computational methods"/>
      <sheetName val="Characterization methods"/>
      <sheetName val="Synthesis and processing"/>
      <sheetName val="Characterization&amp;Process"/>
    </sheetNames>
    <sheetDataSet>
      <sheetData sheetId="0"/>
      <sheetData sheetId="1">
        <row r="54">
          <cell r="C54" t="str">
            <v>personal</v>
          </cell>
        </row>
        <row r="55">
          <cell r="C55" t="str">
            <v>private_group</v>
          </cell>
        </row>
        <row r="56">
          <cell r="C56" t="str">
            <v>NIMS</v>
          </cell>
        </row>
        <row r="57">
          <cell r="C57" t="str">
            <v>public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2">
          <cell r="B2" t="str">
            <v>experiments</v>
          </cell>
        </row>
        <row r="3">
          <cell r="B3" t="str">
            <v>informatics and data science</v>
          </cell>
        </row>
        <row r="4">
          <cell r="B4" t="str">
            <v>simulations</v>
          </cell>
        </row>
        <row r="5">
          <cell r="B5" t="str">
            <v>theory</v>
          </cell>
        </row>
        <row r="6">
          <cell r="B6" t="str">
            <v>other</v>
          </cell>
        </row>
      </sheetData>
      <sheetData sheetId="18"/>
      <sheetData sheetId="19"/>
      <sheetData sheetId="20">
        <row r="1">
          <cell r="I1" t="str">
            <v>chemical</v>
          </cell>
          <cell r="J1" t="str">
            <v>colligative</v>
          </cell>
          <cell r="K1" t="str">
            <v>corrosion</v>
          </cell>
          <cell r="L1" t="str">
            <v>crystallographic</v>
          </cell>
          <cell r="M1" t="str">
            <v>durability</v>
          </cell>
          <cell r="N1" t="str">
            <v>electrical</v>
          </cell>
          <cell r="O1" t="str">
            <v>kinetic</v>
          </cell>
          <cell r="P1" t="str">
            <v>magnetic</v>
          </cell>
          <cell r="Q1" t="str">
            <v>mechanical</v>
          </cell>
          <cell r="R1" t="str">
            <v>optical</v>
          </cell>
          <cell r="S1" t="str">
            <v>rheological</v>
          </cell>
          <cell r="T1" t="str">
            <v>structural</v>
          </cell>
          <cell r="U1" t="str">
            <v>thermodynamic</v>
          </cell>
          <cell r="V1" t="str">
            <v>toxicity</v>
          </cell>
          <cell r="W1" t="str">
            <v>transport</v>
          </cell>
          <cell r="X1" t="str">
            <v>other</v>
          </cell>
        </row>
        <row r="28">
          <cell r="I28" t="str">
            <v>化学的</v>
          </cell>
          <cell r="J28" t="str">
            <v>束一性</v>
          </cell>
          <cell r="K28" t="str">
            <v>腐食</v>
          </cell>
          <cell r="L28" t="str">
            <v>結晶学的</v>
          </cell>
          <cell r="M28" t="str">
            <v>耐久性</v>
          </cell>
          <cell r="N28" t="str">
            <v>電気特性</v>
          </cell>
          <cell r="O28" t="str">
            <v>動的</v>
          </cell>
          <cell r="P28" t="str">
            <v>磁性</v>
          </cell>
          <cell r="Q28" t="str">
            <v>機械的性質</v>
          </cell>
          <cell r="R28" t="str">
            <v>工学的性質</v>
          </cell>
          <cell r="S28" t="str">
            <v>レオロジー(流動学)的性質</v>
          </cell>
          <cell r="T28" t="str">
            <v>構造的性質</v>
          </cell>
          <cell r="U28" t="str">
            <v>熱力学的性質</v>
          </cell>
          <cell r="V28" t="str">
            <v>毒性(toxicity)</v>
          </cell>
          <cell r="W28" t="str">
            <v>輸送</v>
          </cell>
          <cell r="X28" t="str">
            <v>その他</v>
          </cell>
        </row>
      </sheetData>
      <sheetData sheetId="21">
        <row r="3">
          <cell r="B3" t="str">
            <v>boundary tracking or level set</v>
          </cell>
          <cell r="E3" t="str">
            <v>境界トラッキングまたはレベルセット</v>
          </cell>
        </row>
        <row r="4">
          <cell r="B4" t="str">
            <v>CALPHAD</v>
          </cell>
          <cell r="E4" t="str">
            <v>カルパッド</v>
          </cell>
        </row>
        <row r="5">
          <cell r="B5" t="str">
            <v>cellular automata</v>
          </cell>
          <cell r="E5" t="str">
            <v>セルオートマトン</v>
          </cell>
        </row>
        <row r="6">
          <cell r="B6" t="str">
            <v>cluster expansion</v>
          </cell>
          <cell r="E6" t="str">
            <v>クラスタ拡張</v>
          </cell>
        </row>
        <row r="7">
          <cell r="B7" t="str">
            <v>crystal plasticity</v>
          </cell>
          <cell r="E7" t="str">
            <v>結晶の可塑性</v>
          </cell>
        </row>
        <row r="8">
          <cell r="B8" t="str">
            <v>density functional theory or electronic structure</v>
          </cell>
          <cell r="E8" t="str">
            <v>密度汎関数理論または電子構造</v>
          </cell>
        </row>
        <row r="9">
          <cell r="B9" t="str">
            <v>dislocation dynamics</v>
          </cell>
          <cell r="E9" t="str">
            <v>転位ダイナミクス</v>
          </cell>
        </row>
        <row r="10">
          <cell r="B10" t="str">
            <v>finite element analysis</v>
          </cell>
          <cell r="E10" t="str">
            <v>有限要素解析</v>
          </cell>
        </row>
        <row r="11">
          <cell r="B11" t="str">
            <v>machine learning</v>
          </cell>
          <cell r="E11" t="str">
            <v>機械学習</v>
          </cell>
        </row>
        <row r="12">
          <cell r="B12" t="str">
            <v>molecular dynamics</v>
          </cell>
          <cell r="E12" t="str">
            <v>分子動力学</v>
          </cell>
        </row>
        <row r="13">
          <cell r="B13" t="str">
            <v>Monte Carlo methods</v>
          </cell>
          <cell r="E13" t="str">
            <v>モンテカルロ法</v>
          </cell>
        </row>
        <row r="14">
          <cell r="B14" t="str">
            <v>multiscale simulations</v>
          </cell>
          <cell r="E14" t="str">
            <v>マルチスケールシミュレーション</v>
          </cell>
        </row>
        <row r="15">
          <cell r="B15" t="str">
            <v>phase-field calculations</v>
          </cell>
          <cell r="E15" t="str">
            <v>位相場計算</v>
          </cell>
        </row>
        <row r="16">
          <cell r="B16" t="str">
            <v>reverse Monte Carlo</v>
          </cell>
          <cell r="E16" t="str">
            <v>リバースモンテカルロ</v>
          </cell>
        </row>
        <row r="17">
          <cell r="B17" t="str">
            <v>self-consistent field theory</v>
          </cell>
          <cell r="E17" t="str">
            <v>自己一貫性場理論</v>
          </cell>
        </row>
        <row r="18">
          <cell r="B18" t="str">
            <v>simulated experiment</v>
          </cell>
          <cell r="E18" t="str">
            <v>シミュレート実験</v>
          </cell>
        </row>
        <row r="19">
          <cell r="B19" t="str">
            <v>scattering theory</v>
          </cell>
          <cell r="E19" t="str">
            <v>散乱理論</v>
          </cell>
        </row>
        <row r="20">
          <cell r="B20" t="str">
            <v>statistical mechanics</v>
          </cell>
          <cell r="E20" t="str">
            <v>統計力学</v>
          </cell>
        </row>
      </sheetData>
      <sheetData sheetId="22"/>
      <sheetData sheetId="23">
        <row r="1">
          <cell r="I1" t="str">
            <v>AnnealingHomogenization</v>
          </cell>
          <cell r="J1" t="str">
            <v>casting</v>
          </cell>
          <cell r="K1" t="str">
            <v>DepositionCoating</v>
          </cell>
          <cell r="L1" t="str">
            <v>forming</v>
          </cell>
          <cell r="M1" t="str">
            <v>fractionation</v>
          </cell>
          <cell r="N1" t="str">
            <v>MechanicalSurface</v>
          </cell>
          <cell r="O1" t="str">
            <v>PowderProcessing</v>
          </cell>
          <cell r="P1" t="str">
            <v>quenching</v>
          </cell>
          <cell r="Q1" t="str">
            <v>reactive</v>
          </cell>
          <cell r="R1" t="str">
            <v>self_assembly</v>
          </cell>
          <cell r="S1" t="str">
            <v>solidification</v>
          </cell>
          <cell r="T1" t="str">
            <v>other</v>
          </cell>
        </row>
        <row r="22">
          <cell r="I22" t="str">
            <v>アニーリング_均一化処理</v>
          </cell>
          <cell r="J22" t="str">
            <v>鋳造</v>
          </cell>
          <cell r="K22" t="str">
            <v>蒸着_成膜</v>
          </cell>
          <cell r="L22" t="str">
            <v>成形</v>
          </cell>
          <cell r="M22" t="str">
            <v>分別_fractionation</v>
          </cell>
          <cell r="N22" t="str">
            <v>機械的_表面</v>
          </cell>
          <cell r="O22" t="str">
            <v>粉末処理</v>
          </cell>
          <cell r="P22" t="str">
            <v>焼入れ_quenching</v>
          </cell>
          <cell r="Q22" t="str">
            <v>反応</v>
          </cell>
          <cell r="R22" t="str">
            <v>自己組織化</v>
          </cell>
          <cell r="S22" t="str">
            <v>固化_solidification</v>
          </cell>
          <cell r="T22" t="str">
            <v>その他</v>
          </cell>
        </row>
        <row r="112">
          <cell r="F112" t="str">
            <v>N_A</v>
          </cell>
          <cell r="G112" t="str">
            <v>N_A</v>
          </cell>
        </row>
        <row r="113">
          <cell r="F113" t="str">
            <v>in air</v>
          </cell>
          <cell r="G113" t="str">
            <v>空気中</v>
          </cell>
        </row>
        <row r="114">
          <cell r="F114" t="str">
            <v>in liquid</v>
          </cell>
          <cell r="G114" t="str">
            <v>液体中</v>
          </cell>
        </row>
        <row r="115">
          <cell r="F115" t="str">
            <v>in vacuum</v>
          </cell>
          <cell r="G115" t="str">
            <v>真空中</v>
          </cell>
        </row>
        <row r="116">
          <cell r="F116" t="str">
            <v>in inactive gas</v>
          </cell>
          <cell r="G116" t="str">
            <v>不活性ガス中</v>
          </cell>
        </row>
        <row r="117">
          <cell r="F117" t="str">
            <v>in high pressure</v>
          </cell>
          <cell r="G117" t="str">
            <v>高圧下</v>
          </cell>
        </row>
        <row r="118">
          <cell r="F118" t="str">
            <v>in magnetic field</v>
          </cell>
          <cell r="G118" t="str">
            <v>磁場中</v>
          </cell>
        </row>
        <row r="119">
          <cell r="F119" t="str">
            <v>at low temperature</v>
          </cell>
          <cell r="G119" t="str">
            <v>低温</v>
          </cell>
        </row>
        <row r="120">
          <cell r="F120" t="str">
            <v>other (free description)</v>
          </cell>
          <cell r="G120" t="str">
            <v>その他（自由記述）</v>
          </cell>
        </row>
      </sheetData>
      <sheetData sheetId="24">
        <row r="27">
          <cell r="B27" t="str">
            <v>charge_distribution</v>
          </cell>
          <cell r="C27" t="str">
            <v>chromatography</v>
          </cell>
          <cell r="D27" t="str">
            <v>dilatometry</v>
          </cell>
          <cell r="E27" t="str">
            <v>electrochemical</v>
          </cell>
          <cell r="F27" t="str">
            <v>mechanical</v>
          </cell>
          <cell r="G27" t="str">
            <v>microscopy</v>
          </cell>
          <cell r="H27" t="str">
            <v>optical</v>
          </cell>
          <cell r="I27" t="str">
            <v>osmometry</v>
          </cell>
          <cell r="J27" t="str">
            <v>profilometry</v>
          </cell>
          <cell r="K27" t="str">
            <v>scattering_and_diffraction</v>
          </cell>
          <cell r="L27" t="str">
            <v>spectrometry</v>
          </cell>
          <cell r="M27" t="str">
            <v>spectroscopy</v>
          </cell>
          <cell r="N27" t="str">
            <v>thermochemical</v>
          </cell>
          <cell r="O27" t="str">
            <v>tomography</v>
          </cell>
          <cell r="P27" t="str">
            <v>ultrasonic</v>
          </cell>
          <cell r="Q27" t="str">
            <v>viscometry</v>
          </cell>
          <cell r="S27" t="str">
            <v>AnnealingHomogenization</v>
          </cell>
          <cell r="T27" t="str">
            <v>casting</v>
          </cell>
          <cell r="U27" t="str">
            <v>DepositionCoating</v>
          </cell>
          <cell r="V27" t="str">
            <v>forming</v>
          </cell>
          <cell r="W27" t="str">
            <v>fractionation</v>
          </cell>
          <cell r="X27" t="str">
            <v>MechanicalSurface</v>
          </cell>
          <cell r="Y27" t="str">
            <v>PowderProcessing</v>
          </cell>
          <cell r="Z27" t="str">
            <v>quenching</v>
          </cell>
          <cell r="AA27" t="str">
            <v>reactive</v>
          </cell>
          <cell r="AB27" t="str">
            <v>self_assembly</v>
          </cell>
          <cell r="AC27" t="str">
            <v>solidification</v>
          </cell>
          <cell r="AD27" t="str">
            <v>other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ndatory_item"/>
      <sheetName val="必須メタ案-ユースケース（計算）"/>
      <sheetName val="必須メタ案-ユースケース（ナノプラ）"/>
      <sheetName val="必須メタ案-WG検討"/>
      <sheetName val="InPutMode"/>
      <sheetName val="物質材料（試料）メタ"/>
      <sheetName val="試料記述詳細版"/>
      <sheetName val="試料記述超簡易版"/>
      <sheetName val="特性メタ"/>
      <sheetName val="計測メタ"/>
      <sheetName val="合成・プロセスメタ"/>
      <sheetName val="計算メタ"/>
      <sheetName val="original"/>
      <sheetName val="original (mod)"/>
      <sheetName val="original (mod) (2)Eng"/>
      <sheetName val="original (mod) (2)Jpn"/>
      <sheetName val="data origin"/>
      <sheetName val="Material types"/>
      <sheetName val="Structural features"/>
      <sheetName val="Properties addressed"/>
      <sheetName val="Computational methods"/>
      <sheetName val="Characterization methods"/>
      <sheetName val="Synthesis and processing"/>
      <sheetName val="Characterization&amp;Process"/>
    </sheetNames>
    <sheetDataSet>
      <sheetData sheetId="0"/>
      <sheetData sheetId="1">
        <row r="54">
          <cell r="C54" t="str">
            <v>personal</v>
          </cell>
        </row>
        <row r="55">
          <cell r="C55" t="str">
            <v>private_group</v>
          </cell>
        </row>
        <row r="56">
          <cell r="C56" t="str">
            <v>NIMS</v>
          </cell>
        </row>
        <row r="57">
          <cell r="C57" t="str">
            <v>public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2">
          <cell r="B2" t="str">
            <v>experiments</v>
          </cell>
        </row>
        <row r="3">
          <cell r="B3" t="str">
            <v>informatics and data science</v>
          </cell>
        </row>
        <row r="4">
          <cell r="B4" t="str">
            <v>simulations</v>
          </cell>
        </row>
        <row r="5">
          <cell r="B5" t="str">
            <v>theory</v>
          </cell>
        </row>
        <row r="6">
          <cell r="B6" t="str">
            <v>other</v>
          </cell>
        </row>
      </sheetData>
      <sheetData sheetId="18"/>
      <sheetData sheetId="19"/>
      <sheetData sheetId="20">
        <row r="1">
          <cell r="I1" t="str">
            <v>chemical</v>
          </cell>
          <cell r="J1" t="str">
            <v>colligative</v>
          </cell>
          <cell r="K1" t="str">
            <v>corrosion</v>
          </cell>
          <cell r="L1" t="str">
            <v>crystallographic</v>
          </cell>
          <cell r="M1" t="str">
            <v>durability</v>
          </cell>
          <cell r="N1" t="str">
            <v>electrical</v>
          </cell>
          <cell r="O1" t="str">
            <v>kinetic</v>
          </cell>
          <cell r="P1" t="str">
            <v>magnetic</v>
          </cell>
          <cell r="Q1" t="str">
            <v>mechanical</v>
          </cell>
          <cell r="R1" t="str">
            <v>optical</v>
          </cell>
          <cell r="S1" t="str">
            <v>rheological</v>
          </cell>
          <cell r="T1" t="str">
            <v>structural</v>
          </cell>
          <cell r="U1" t="str">
            <v>thermodynamic</v>
          </cell>
          <cell r="V1" t="str">
            <v>toxicity</v>
          </cell>
          <cell r="W1" t="str">
            <v>transport</v>
          </cell>
          <cell r="X1" t="str">
            <v>other</v>
          </cell>
        </row>
        <row r="28">
          <cell r="I28" t="str">
            <v>化学的</v>
          </cell>
          <cell r="J28" t="str">
            <v>束一性</v>
          </cell>
          <cell r="K28" t="str">
            <v>腐食</v>
          </cell>
          <cell r="L28" t="str">
            <v>結晶学的</v>
          </cell>
          <cell r="M28" t="str">
            <v>耐久性</v>
          </cell>
          <cell r="N28" t="str">
            <v>電気特性</v>
          </cell>
          <cell r="O28" t="str">
            <v>動的</v>
          </cell>
          <cell r="P28" t="str">
            <v>磁性</v>
          </cell>
          <cell r="Q28" t="str">
            <v>機械的性質</v>
          </cell>
          <cell r="R28" t="str">
            <v>工学的性質</v>
          </cell>
          <cell r="S28" t="str">
            <v>レオロジー(流動学)的性質</v>
          </cell>
          <cell r="T28" t="str">
            <v>構造的性質</v>
          </cell>
          <cell r="U28" t="str">
            <v>熱力学的性質</v>
          </cell>
          <cell r="V28" t="str">
            <v>毒性(toxicity)</v>
          </cell>
          <cell r="W28" t="str">
            <v>輸送</v>
          </cell>
          <cell r="X28" t="str">
            <v>その他</v>
          </cell>
        </row>
      </sheetData>
      <sheetData sheetId="21">
        <row r="3">
          <cell r="B3" t="str">
            <v>boundary tracking or level set</v>
          </cell>
          <cell r="E3" t="str">
            <v>境界トラッキングまたはレベルセット</v>
          </cell>
        </row>
        <row r="4">
          <cell r="B4" t="str">
            <v>CALPHAD</v>
          </cell>
          <cell r="E4" t="str">
            <v>カルパッド</v>
          </cell>
        </row>
        <row r="5">
          <cell r="B5" t="str">
            <v>cellular automata</v>
          </cell>
          <cell r="E5" t="str">
            <v>セルオートマトン</v>
          </cell>
        </row>
        <row r="6">
          <cell r="B6" t="str">
            <v>cluster expansion</v>
          </cell>
          <cell r="E6" t="str">
            <v>クラスタ拡張</v>
          </cell>
        </row>
        <row r="7">
          <cell r="B7" t="str">
            <v>crystal plasticity</v>
          </cell>
          <cell r="E7" t="str">
            <v>結晶の可塑性</v>
          </cell>
        </row>
        <row r="8">
          <cell r="B8" t="str">
            <v>density functional theory or electronic structure</v>
          </cell>
          <cell r="E8" t="str">
            <v>密度汎関数理論または電子構造</v>
          </cell>
        </row>
        <row r="9">
          <cell r="B9" t="str">
            <v>dislocation dynamics</v>
          </cell>
          <cell r="E9" t="str">
            <v>転位ダイナミクス</v>
          </cell>
        </row>
        <row r="10">
          <cell r="B10" t="str">
            <v>finite element analysis</v>
          </cell>
          <cell r="E10" t="str">
            <v>有限要素解析</v>
          </cell>
        </row>
        <row r="11">
          <cell r="B11" t="str">
            <v>machine learning</v>
          </cell>
          <cell r="E11" t="str">
            <v>機械学習</v>
          </cell>
        </row>
        <row r="12">
          <cell r="B12" t="str">
            <v>molecular dynamics</v>
          </cell>
          <cell r="E12" t="str">
            <v>分子動力学</v>
          </cell>
        </row>
        <row r="13">
          <cell r="B13" t="str">
            <v>Monte Carlo methods</v>
          </cell>
          <cell r="E13" t="str">
            <v>モンテカルロ法</v>
          </cell>
        </row>
        <row r="14">
          <cell r="B14" t="str">
            <v>multiscale simulations</v>
          </cell>
          <cell r="E14" t="str">
            <v>マルチスケールシミュレーション</v>
          </cell>
        </row>
        <row r="15">
          <cell r="B15" t="str">
            <v>phase-field calculations</v>
          </cell>
          <cell r="E15" t="str">
            <v>位相場計算</v>
          </cell>
        </row>
        <row r="16">
          <cell r="B16" t="str">
            <v>reverse Monte Carlo</v>
          </cell>
          <cell r="E16" t="str">
            <v>リバースモンテカルロ</v>
          </cell>
        </row>
        <row r="17">
          <cell r="B17" t="str">
            <v>self-consistent field theory</v>
          </cell>
          <cell r="E17" t="str">
            <v>自己一貫性場理論</v>
          </cell>
        </row>
        <row r="18">
          <cell r="B18" t="str">
            <v>simulated experiment</v>
          </cell>
          <cell r="E18" t="str">
            <v>シミュレート実験</v>
          </cell>
        </row>
        <row r="19">
          <cell r="B19" t="str">
            <v>scattering theory</v>
          </cell>
          <cell r="E19" t="str">
            <v>散乱理論</v>
          </cell>
        </row>
        <row r="20">
          <cell r="B20" t="str">
            <v>statistical mechanics</v>
          </cell>
          <cell r="E20" t="str">
            <v>統計力学</v>
          </cell>
        </row>
      </sheetData>
      <sheetData sheetId="22"/>
      <sheetData sheetId="23">
        <row r="1">
          <cell r="I1" t="str">
            <v>AnnealingHomogenization</v>
          </cell>
          <cell r="J1" t="str">
            <v>casting</v>
          </cell>
          <cell r="K1" t="str">
            <v>DepositionCoating</v>
          </cell>
          <cell r="L1" t="str">
            <v>forming</v>
          </cell>
          <cell r="M1" t="str">
            <v>fractionation</v>
          </cell>
          <cell r="N1" t="str">
            <v>MechanicalSurface</v>
          </cell>
          <cell r="O1" t="str">
            <v>PowderProcessing</v>
          </cell>
          <cell r="P1" t="str">
            <v>quenching</v>
          </cell>
          <cell r="Q1" t="str">
            <v>reactive</v>
          </cell>
          <cell r="R1" t="str">
            <v>self_assembly</v>
          </cell>
          <cell r="S1" t="str">
            <v>solidification</v>
          </cell>
          <cell r="T1" t="str">
            <v>other</v>
          </cell>
        </row>
        <row r="22">
          <cell r="I22" t="str">
            <v>アニーリング_均一化処理</v>
          </cell>
          <cell r="J22" t="str">
            <v>鋳造</v>
          </cell>
          <cell r="K22" t="str">
            <v>蒸着_成膜</v>
          </cell>
          <cell r="L22" t="str">
            <v>成形</v>
          </cell>
          <cell r="M22" t="str">
            <v>分別_fractionation</v>
          </cell>
          <cell r="N22" t="str">
            <v>機械的_表面</v>
          </cell>
          <cell r="O22" t="str">
            <v>粉末処理</v>
          </cell>
          <cell r="P22" t="str">
            <v>焼入れ_quenching</v>
          </cell>
          <cell r="Q22" t="str">
            <v>反応</v>
          </cell>
          <cell r="R22" t="str">
            <v>自己組織化</v>
          </cell>
          <cell r="S22" t="str">
            <v>固化_solidification</v>
          </cell>
          <cell r="T22" t="str">
            <v>その他</v>
          </cell>
        </row>
        <row r="112">
          <cell r="F112" t="str">
            <v>N_A</v>
          </cell>
          <cell r="G112" t="str">
            <v>N_A</v>
          </cell>
        </row>
        <row r="113">
          <cell r="F113" t="str">
            <v>in air</v>
          </cell>
          <cell r="G113" t="str">
            <v>空気中</v>
          </cell>
        </row>
        <row r="114">
          <cell r="F114" t="str">
            <v>in liquid</v>
          </cell>
          <cell r="G114" t="str">
            <v>液体中</v>
          </cell>
        </row>
        <row r="115">
          <cell r="F115" t="str">
            <v>in vacuum</v>
          </cell>
          <cell r="G115" t="str">
            <v>真空中</v>
          </cell>
        </row>
        <row r="116">
          <cell r="F116" t="str">
            <v>in inactive gas</v>
          </cell>
          <cell r="G116" t="str">
            <v>不活性ガス中</v>
          </cell>
        </row>
        <row r="117">
          <cell r="F117" t="str">
            <v>in high pressure</v>
          </cell>
          <cell r="G117" t="str">
            <v>高圧下</v>
          </cell>
        </row>
        <row r="118">
          <cell r="F118" t="str">
            <v>in magnetic field</v>
          </cell>
          <cell r="G118" t="str">
            <v>磁場中</v>
          </cell>
        </row>
        <row r="119">
          <cell r="F119" t="str">
            <v>at low temperature</v>
          </cell>
          <cell r="G119" t="str">
            <v>低温</v>
          </cell>
        </row>
        <row r="120">
          <cell r="F120" t="str">
            <v>other (free description)</v>
          </cell>
          <cell r="G120" t="str">
            <v>その他（自由記述）</v>
          </cell>
        </row>
      </sheetData>
      <sheetData sheetId="24">
        <row r="27">
          <cell r="B27" t="str">
            <v>charge_distribution</v>
          </cell>
          <cell r="C27" t="str">
            <v>chromatography</v>
          </cell>
          <cell r="D27" t="str">
            <v>dilatometry</v>
          </cell>
          <cell r="E27" t="str">
            <v>electrochemical</v>
          </cell>
          <cell r="F27" t="str">
            <v>mechanical</v>
          </cell>
          <cell r="G27" t="str">
            <v>microscopy</v>
          </cell>
          <cell r="H27" t="str">
            <v>optical</v>
          </cell>
          <cell r="I27" t="str">
            <v>osmometry</v>
          </cell>
          <cell r="J27" t="str">
            <v>profilometry</v>
          </cell>
          <cell r="K27" t="str">
            <v>scattering_and_diffraction</v>
          </cell>
          <cell r="L27" t="str">
            <v>spectrometry</v>
          </cell>
          <cell r="M27" t="str">
            <v>spectroscopy</v>
          </cell>
          <cell r="N27" t="str">
            <v>thermochemical</v>
          </cell>
          <cell r="O27" t="str">
            <v>tomography</v>
          </cell>
          <cell r="P27" t="str">
            <v>ultrasonic</v>
          </cell>
          <cell r="Q27" t="str">
            <v>viscometry</v>
          </cell>
          <cell r="S27" t="str">
            <v>AnnealingHomogenization</v>
          </cell>
          <cell r="T27" t="str">
            <v>casting</v>
          </cell>
          <cell r="U27" t="str">
            <v>DepositionCoating</v>
          </cell>
          <cell r="V27" t="str">
            <v>forming</v>
          </cell>
          <cell r="W27" t="str">
            <v>fractionation</v>
          </cell>
          <cell r="X27" t="str">
            <v>MechanicalSurface</v>
          </cell>
          <cell r="Y27" t="str">
            <v>PowderProcessing</v>
          </cell>
          <cell r="Z27" t="str">
            <v>quenching</v>
          </cell>
          <cell r="AA27" t="str">
            <v>reactive</v>
          </cell>
          <cell r="AB27" t="str">
            <v>self_assembly</v>
          </cell>
          <cell r="AC27" t="str">
            <v>solidification</v>
          </cell>
          <cell r="AD27" t="str">
            <v>other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acterization methods"/>
      <sheetName val="Material types"/>
      <sheetName val="Structural features"/>
      <sheetName val="改版履歴"/>
      <sheetName val="データセット用テンプレート"/>
      <sheetName val="ユーザー情報用テンプレート"/>
      <sheetName val="装置情報用テンプレート"/>
      <sheetName val="インボイスリストテンプレート"/>
      <sheetName val="試料用テンプレート"/>
    </sheetNames>
    <sheetDataSet>
      <sheetData sheetId="0">
        <row r="24">
          <cell r="J24" t="str">
            <v>荷電分布</v>
          </cell>
          <cell r="K24" t="str">
            <v>クロマトグラフィー</v>
          </cell>
          <cell r="L24" t="str">
            <v>膨張計</v>
          </cell>
          <cell r="M24" t="str">
            <v>電気化学</v>
          </cell>
          <cell r="N24" t="str">
            <v>機械特性</v>
          </cell>
          <cell r="O24" t="str">
            <v>顕微法</v>
          </cell>
          <cell r="P24" t="str">
            <v>光学測定</v>
          </cell>
          <cell r="Q24" t="str">
            <v>浸透圧法(osmometry)</v>
          </cell>
          <cell r="R24" t="str">
            <v>プロフィロメトリー</v>
          </cell>
          <cell r="S24" t="str">
            <v>散乱_回折</v>
          </cell>
          <cell r="T24" t="str">
            <v>分光分析法</v>
          </cell>
          <cell r="U24" t="str">
            <v>分光法</v>
          </cell>
          <cell r="V24" t="str">
            <v>熱化学</v>
          </cell>
          <cell r="W24" t="str">
            <v>トモグラフィー</v>
          </cell>
          <cell r="X24" t="str">
            <v>超音波</v>
          </cell>
          <cell r="Y24" t="str">
            <v>粘度測定</v>
          </cell>
          <cell r="Z24" t="str">
            <v>その他</v>
          </cell>
        </row>
        <row r="118">
          <cell r="G118" t="str">
            <v>N_A</v>
          </cell>
        </row>
        <row r="119">
          <cell r="G119" t="str">
            <v>空気中</v>
          </cell>
        </row>
        <row r="120">
          <cell r="G120" t="str">
            <v>液体中</v>
          </cell>
        </row>
        <row r="121">
          <cell r="G121" t="str">
            <v>真空中</v>
          </cell>
        </row>
        <row r="122">
          <cell r="G122" t="str">
            <v>不活性ガス中</v>
          </cell>
        </row>
        <row r="123">
          <cell r="G123" t="str">
            <v>高圧下</v>
          </cell>
        </row>
        <row r="124">
          <cell r="G124" t="str">
            <v>磁場中</v>
          </cell>
        </row>
        <row r="125">
          <cell r="G125" t="str">
            <v>低温</v>
          </cell>
        </row>
        <row r="126">
          <cell r="G126" t="str">
            <v>その他（自由記述）</v>
          </cell>
        </row>
      </sheetData>
      <sheetData sheetId="1">
        <row r="17">
          <cell r="J17" t="str">
            <v>生物学的物質</v>
          </cell>
          <cell r="K17" t="str">
            <v>生体材料</v>
          </cell>
          <cell r="L17" t="str">
            <v>セラミックス</v>
          </cell>
          <cell r="M17" t="str">
            <v>金属・合金</v>
          </cell>
          <cell r="N17" t="str">
            <v>メタマテリアル</v>
          </cell>
          <cell r="O17" t="str">
            <v>分子流体</v>
          </cell>
          <cell r="P17" t="str">
            <v>有機化合物</v>
          </cell>
          <cell r="Q17" t="str">
            <v>有機金属</v>
          </cell>
          <cell r="R17" t="str">
            <v>ポリマー</v>
          </cell>
          <cell r="S17" t="str">
            <v>半導体</v>
          </cell>
          <cell r="T17" t="str">
            <v>その他</v>
          </cell>
        </row>
      </sheetData>
      <sheetData sheetId="2">
        <row r="25">
          <cell r="I25" t="str">
            <v>複合材料</v>
          </cell>
          <cell r="J25" t="str">
            <v>欠陥</v>
          </cell>
          <cell r="K25" t="str">
            <v>工学的構造</v>
          </cell>
          <cell r="L25" t="str">
            <v>界面</v>
          </cell>
          <cell r="M25" t="str">
            <v>微細構造_microstructure</v>
          </cell>
          <cell r="N25" t="str">
            <v>分子構造</v>
          </cell>
          <cell r="O25" t="str">
            <v>形態</v>
          </cell>
          <cell r="P25" t="str">
            <v>相</v>
          </cell>
          <cell r="Q25" t="str">
            <v>その他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acterization methods"/>
      <sheetName val="Material types"/>
      <sheetName val="Structural features"/>
      <sheetName val="改版履歴"/>
      <sheetName val="データセット用テンプレート"/>
      <sheetName val="ユーザー情報用テンプレート"/>
      <sheetName val="装置情報用テンプレート"/>
      <sheetName val="インボイスリストテンプレート"/>
      <sheetName val="試料用テンプレート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5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E4EDC-4BE8-4E6D-8183-36A533914BD0}">
  <dimension ref="B2:F15"/>
  <sheetViews>
    <sheetView workbookViewId="0">
      <selection activeCell="D14" sqref="D14"/>
    </sheetView>
  </sheetViews>
  <sheetFormatPr defaultRowHeight="18"/>
  <cols>
    <col min="2" max="2" width="6.5" customWidth="1"/>
    <col min="3" max="3" width="23" bestFit="1" customWidth="1"/>
    <col min="4" max="4" width="52" customWidth="1"/>
    <col min="5" max="5" width="32.5" customWidth="1"/>
    <col min="6" max="6" width="36.25" customWidth="1"/>
  </cols>
  <sheetData>
    <row r="2" spans="2:6">
      <c r="B2" s="96" t="s">
        <v>295</v>
      </c>
    </row>
    <row r="3" spans="2:6">
      <c r="C3" t="s">
        <v>296</v>
      </c>
    </row>
    <row r="4" spans="2:6">
      <c r="C4" t="s">
        <v>300</v>
      </c>
    </row>
    <row r="5" spans="2:6">
      <c r="C5" s="95" t="s">
        <v>282</v>
      </c>
      <c r="D5" s="95" t="s">
        <v>283</v>
      </c>
      <c r="E5" s="95" t="s">
        <v>284</v>
      </c>
      <c r="F5" s="95" t="s">
        <v>288</v>
      </c>
    </row>
    <row r="6" spans="2:6">
      <c r="C6" s="94" t="s">
        <v>280</v>
      </c>
      <c r="D6" s="94" t="s">
        <v>289</v>
      </c>
      <c r="E6" s="97" t="s">
        <v>285</v>
      </c>
      <c r="F6" s="97" t="s">
        <v>287</v>
      </c>
    </row>
    <row r="7" spans="2:6">
      <c r="C7" s="94" t="s">
        <v>281</v>
      </c>
      <c r="D7" s="94" t="s">
        <v>290</v>
      </c>
      <c r="E7" s="98" t="s">
        <v>286</v>
      </c>
      <c r="F7" s="98" t="s">
        <v>293</v>
      </c>
    </row>
    <row r="8" spans="2:6">
      <c r="C8" s="94" t="s">
        <v>331</v>
      </c>
      <c r="D8" s="94" t="s">
        <v>291</v>
      </c>
      <c r="E8" s="99" t="s">
        <v>294</v>
      </c>
      <c r="F8" s="99" t="s">
        <v>332</v>
      </c>
    </row>
    <row r="10" spans="2:6">
      <c r="C10" t="s">
        <v>301</v>
      </c>
      <c r="E10" t="s">
        <v>292</v>
      </c>
    </row>
    <row r="13" spans="2:6">
      <c r="B13" s="96" t="s">
        <v>297</v>
      </c>
    </row>
    <row r="14" spans="2:6">
      <c r="C14" t="s">
        <v>298</v>
      </c>
    </row>
    <row r="15" spans="2:6">
      <c r="C15" t="s">
        <v>299</v>
      </c>
    </row>
  </sheetData>
  <phoneticPr fontId="3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6EC2B-011C-45A0-A7AA-2E6EA56C9985}">
  <dimension ref="A1:N40"/>
  <sheetViews>
    <sheetView topLeftCell="A4" zoomScale="75" zoomScaleNormal="75" workbookViewId="0">
      <selection activeCell="F31" sqref="F31"/>
    </sheetView>
  </sheetViews>
  <sheetFormatPr defaultColWidth="9" defaultRowHeight="18"/>
  <cols>
    <col min="1" max="2" width="19" style="1" customWidth="1"/>
    <col min="3" max="3" width="50.83203125" style="1" customWidth="1"/>
    <col min="4" max="5" width="9" style="17" customWidth="1"/>
    <col min="6" max="7" width="37.83203125" style="1" customWidth="1"/>
    <col min="8" max="9" width="14.08203125" style="1" customWidth="1"/>
    <col min="10" max="10" width="14.08203125" style="1" hidden="1" customWidth="1"/>
    <col min="11" max="12" width="45.08203125" style="1" customWidth="1"/>
    <col min="13" max="14" width="9" style="1"/>
    <col min="15" max="15" width="3.08203125" style="1" customWidth="1"/>
    <col min="16" max="16384" width="9" style="1"/>
  </cols>
  <sheetData>
    <row r="1" spans="1:13">
      <c r="C1" s="16" t="s">
        <v>158</v>
      </c>
    </row>
    <row r="3" spans="1:13" ht="18.5" thickBot="1">
      <c r="C3" s="1" t="s">
        <v>1</v>
      </c>
      <c r="F3" s="1" t="s">
        <v>3</v>
      </c>
      <c r="G3" s="1" t="s">
        <v>4</v>
      </c>
      <c r="H3" s="2" t="s">
        <v>5</v>
      </c>
      <c r="I3" s="1" t="s">
        <v>6</v>
      </c>
      <c r="J3" s="1" t="s">
        <v>7</v>
      </c>
      <c r="K3" s="2" t="s">
        <v>8</v>
      </c>
      <c r="L3" s="2"/>
    </row>
    <row r="4" spans="1:13" ht="90.5" thickBot="1">
      <c r="A4" s="132"/>
      <c r="B4" s="132"/>
      <c r="C4" s="18" t="s">
        <v>159</v>
      </c>
      <c r="D4" s="19" t="s">
        <v>160</v>
      </c>
      <c r="E4" s="19" t="s">
        <v>161</v>
      </c>
      <c r="F4" s="20" t="s">
        <v>14</v>
      </c>
      <c r="G4" s="20" t="s">
        <v>162</v>
      </c>
      <c r="H4" s="21" t="s">
        <v>16</v>
      </c>
      <c r="I4" s="22" t="s">
        <v>17</v>
      </c>
      <c r="J4" s="22" t="s">
        <v>18</v>
      </c>
      <c r="K4" s="23" t="s">
        <v>19</v>
      </c>
      <c r="L4" s="23" t="s">
        <v>20</v>
      </c>
    </row>
    <row r="5" spans="1:13">
      <c r="A5" s="133" t="s">
        <v>163</v>
      </c>
      <c r="B5" s="134"/>
      <c r="C5" s="24" t="str">
        <f t="shared" ref="C5:C10" si="0">SUBSTITUTE(LOWER(TRIM(G5))," ","_")</f>
        <v>instrument</v>
      </c>
      <c r="D5" s="25" t="s">
        <v>164</v>
      </c>
      <c r="E5" s="25"/>
      <c r="F5" s="26" t="s">
        <v>165</v>
      </c>
      <c r="G5" s="26" t="s">
        <v>166</v>
      </c>
      <c r="H5" s="26" t="s">
        <v>25</v>
      </c>
      <c r="I5" s="27"/>
      <c r="J5" s="27"/>
      <c r="K5" s="28"/>
      <c r="L5" s="28"/>
    </row>
    <row r="6" spans="1:13">
      <c r="A6" s="134"/>
      <c r="B6" s="134"/>
      <c r="C6" s="29" t="str">
        <f t="shared" si="0"/>
        <v/>
      </c>
      <c r="D6" s="30"/>
      <c r="E6" s="30"/>
      <c r="F6" s="31" t="s">
        <v>167</v>
      </c>
      <c r="G6" s="31" t="s">
        <v>168</v>
      </c>
      <c r="H6" s="31"/>
      <c r="I6" s="32"/>
      <c r="J6" s="32"/>
      <c r="K6" s="33" t="s">
        <v>169</v>
      </c>
      <c r="L6" s="34"/>
    </row>
    <row r="7" spans="1:13">
      <c r="A7" s="134"/>
      <c r="B7" s="134"/>
      <c r="C7" s="35" t="str">
        <f t="shared" si="0"/>
        <v>data_owner_(affiliation)</v>
      </c>
      <c r="D7" s="36" t="s">
        <v>164</v>
      </c>
      <c r="E7" s="36"/>
      <c r="F7" s="10" t="s">
        <v>170</v>
      </c>
      <c r="G7" s="10" t="s">
        <v>171</v>
      </c>
      <c r="H7" s="10" t="s">
        <v>172</v>
      </c>
      <c r="I7" s="9"/>
      <c r="J7" s="9"/>
      <c r="K7" s="34" t="s">
        <v>173</v>
      </c>
      <c r="L7" s="34"/>
    </row>
    <row r="8" spans="1:13">
      <c r="A8" s="134"/>
      <c r="B8" s="134"/>
      <c r="C8" s="35" t="str">
        <f t="shared" si="0"/>
        <v>data_name</v>
      </c>
      <c r="D8" s="36" t="s">
        <v>164</v>
      </c>
      <c r="E8" s="36"/>
      <c r="F8" s="10" t="s">
        <v>174</v>
      </c>
      <c r="G8" s="10" t="s">
        <v>175</v>
      </c>
      <c r="H8" s="10" t="s">
        <v>172</v>
      </c>
      <c r="I8" s="9"/>
      <c r="J8" s="9"/>
      <c r="K8" s="34"/>
      <c r="L8" s="34"/>
    </row>
    <row r="9" spans="1:13">
      <c r="A9" s="134"/>
      <c r="B9" s="134"/>
      <c r="C9" s="35" t="str">
        <f t="shared" si="0"/>
        <v>experiment_id</v>
      </c>
      <c r="D9" s="36"/>
      <c r="E9" s="36"/>
      <c r="F9" s="10" t="s">
        <v>176</v>
      </c>
      <c r="G9" s="10" t="s">
        <v>177</v>
      </c>
      <c r="H9" s="10" t="s">
        <v>25</v>
      </c>
      <c r="I9" s="9"/>
      <c r="J9" s="9"/>
      <c r="K9" s="34"/>
      <c r="L9" s="34"/>
    </row>
    <row r="10" spans="1:13" ht="18.5" thickBot="1">
      <c r="A10" s="134"/>
      <c r="B10" s="134"/>
      <c r="C10" s="37" t="str">
        <f t="shared" si="0"/>
        <v>description</v>
      </c>
      <c r="D10" s="38"/>
      <c r="E10" s="38"/>
      <c r="F10" s="39" t="s">
        <v>178</v>
      </c>
      <c r="G10" s="39" t="s">
        <v>179</v>
      </c>
      <c r="H10" s="39" t="s">
        <v>25</v>
      </c>
      <c r="I10" s="40"/>
      <c r="J10" s="40"/>
      <c r="K10" s="41"/>
      <c r="L10" s="42"/>
    </row>
    <row r="11" spans="1:13">
      <c r="A11" s="138" t="s">
        <v>337</v>
      </c>
      <c r="B11" s="138" t="s">
        <v>338</v>
      </c>
      <c r="C11" s="24" t="str">
        <f>SUBSTITUTE(LOWER(TRIM(G11))," ","_")</f>
        <v>sample_name_(local_id)</v>
      </c>
      <c r="D11" s="25" t="s">
        <v>339</v>
      </c>
      <c r="E11" s="25"/>
      <c r="F11" s="43" t="s">
        <v>340</v>
      </c>
      <c r="G11" s="26" t="s">
        <v>341</v>
      </c>
      <c r="H11" s="43" t="s">
        <v>172</v>
      </c>
      <c r="I11" s="27"/>
      <c r="J11" s="27"/>
      <c r="K11" s="102"/>
      <c r="L11" s="103"/>
      <c r="M11" s="104"/>
    </row>
    <row r="12" spans="1:13">
      <c r="A12" s="138"/>
      <c r="B12" s="138"/>
      <c r="C12" s="35" t="str">
        <f>SUBSTITUTE(LOWER(TRIM(G12))," ","_")</f>
        <v>chemical_formula_etc.</v>
      </c>
      <c r="D12" s="100"/>
      <c r="E12" s="100"/>
      <c r="F12" s="105" t="s">
        <v>342</v>
      </c>
      <c r="G12" s="9" t="s">
        <v>343</v>
      </c>
      <c r="H12" s="105" t="s">
        <v>172</v>
      </c>
      <c r="I12" s="9"/>
      <c r="J12" s="9"/>
      <c r="K12" s="106"/>
      <c r="L12" s="107"/>
      <c r="M12" s="108"/>
    </row>
    <row r="13" spans="1:13">
      <c r="A13" s="138"/>
      <c r="B13" s="138"/>
      <c r="C13" s="35" t="str">
        <f t="shared" ref="C13:C17" si="1">SUBSTITUTE(LOWER(TRIM(G13))," ","_")</f>
        <v>administrator_(affiliation)</v>
      </c>
      <c r="D13" s="100" t="s">
        <v>164</v>
      </c>
      <c r="E13" s="100"/>
      <c r="F13" s="9" t="s">
        <v>344</v>
      </c>
      <c r="G13" s="9" t="s">
        <v>345</v>
      </c>
      <c r="H13" s="105" t="s">
        <v>172</v>
      </c>
      <c r="I13" s="9"/>
      <c r="J13" s="9"/>
      <c r="K13" s="106"/>
      <c r="L13" s="107"/>
      <c r="M13" s="108"/>
    </row>
    <row r="14" spans="1:13">
      <c r="A14" s="138"/>
      <c r="B14" s="138"/>
      <c r="C14" s="35" t="str">
        <f t="shared" si="1"/>
        <v>reference_url</v>
      </c>
      <c r="D14" s="100"/>
      <c r="E14" s="100"/>
      <c r="F14" s="105" t="s">
        <v>346</v>
      </c>
      <c r="G14" s="9" t="s">
        <v>347</v>
      </c>
      <c r="H14" s="105" t="s">
        <v>172</v>
      </c>
      <c r="I14" s="9"/>
      <c r="J14" s="9"/>
      <c r="K14" s="106"/>
      <c r="L14" s="107"/>
      <c r="M14" s="108"/>
    </row>
    <row r="15" spans="1:13">
      <c r="A15" s="138"/>
      <c r="B15" s="138"/>
      <c r="C15" s="35" t="str">
        <f t="shared" si="1"/>
        <v>related_samples</v>
      </c>
      <c r="D15" s="100"/>
      <c r="E15" s="100"/>
      <c r="F15" s="105" t="s">
        <v>348</v>
      </c>
      <c r="G15" s="9" t="s">
        <v>349</v>
      </c>
      <c r="H15" s="105" t="s">
        <v>172</v>
      </c>
      <c r="I15" s="9"/>
      <c r="J15" s="9"/>
      <c r="K15" s="106"/>
      <c r="L15" s="107"/>
      <c r="M15" s="108"/>
    </row>
    <row r="16" spans="1:13">
      <c r="A16" s="138"/>
      <c r="B16" s="138"/>
      <c r="C16" s="35" t="str">
        <f t="shared" si="1"/>
        <v>tags</v>
      </c>
      <c r="D16" s="100"/>
      <c r="E16" s="100"/>
      <c r="F16" s="105" t="s">
        <v>350</v>
      </c>
      <c r="G16" s="9" t="s">
        <v>351</v>
      </c>
      <c r="H16" s="105" t="s">
        <v>172</v>
      </c>
      <c r="I16" s="9"/>
      <c r="J16" s="9"/>
      <c r="K16" s="106"/>
      <c r="L16" s="107"/>
      <c r="M16" s="108"/>
    </row>
    <row r="17" spans="1:14">
      <c r="A17" s="138"/>
      <c r="B17" s="138"/>
      <c r="C17" s="35" t="str">
        <f t="shared" si="1"/>
        <v>description</v>
      </c>
      <c r="D17" s="100"/>
      <c r="E17" s="100"/>
      <c r="F17" s="105" t="s">
        <v>352</v>
      </c>
      <c r="G17" s="9" t="s">
        <v>353</v>
      </c>
      <c r="H17" s="105" t="s">
        <v>172</v>
      </c>
      <c r="I17" s="9"/>
      <c r="J17" s="9"/>
      <c r="K17" s="106"/>
      <c r="L17" s="109"/>
      <c r="M17" s="108"/>
    </row>
    <row r="18" spans="1:14">
      <c r="A18" s="138"/>
      <c r="B18" s="138"/>
      <c r="C18" s="35" t="str">
        <f t="shared" ref="C18:C24" si="2">"sample.general."&amp;SUBSTITUTE(LOWER(TRIM(G18))," ","_")</f>
        <v>sample.general.general_name</v>
      </c>
      <c r="D18" s="100"/>
      <c r="E18" s="100"/>
      <c r="F18" s="105" t="s">
        <v>354</v>
      </c>
      <c r="G18" s="9" t="s">
        <v>355</v>
      </c>
      <c r="H18" s="105" t="s">
        <v>172</v>
      </c>
      <c r="I18" s="9"/>
      <c r="J18" s="9"/>
      <c r="K18" s="106"/>
      <c r="L18" s="110"/>
      <c r="M18" s="108"/>
    </row>
    <row r="19" spans="1:14">
      <c r="A19" s="138"/>
      <c r="B19" s="138"/>
      <c r="C19" s="35" t="str">
        <f t="shared" si="2"/>
        <v>sample.general.cas_number</v>
      </c>
      <c r="D19" s="100"/>
      <c r="E19" s="100"/>
      <c r="F19" s="105" t="s">
        <v>356</v>
      </c>
      <c r="G19" s="9" t="s">
        <v>357</v>
      </c>
      <c r="H19" s="105" t="s">
        <v>172</v>
      </c>
      <c r="I19" s="9"/>
      <c r="J19" s="9"/>
      <c r="K19" s="106"/>
      <c r="L19" s="111"/>
      <c r="M19" s="108"/>
    </row>
    <row r="20" spans="1:14">
      <c r="A20" s="138"/>
      <c r="B20" s="138"/>
      <c r="C20" s="35" t="str">
        <f t="shared" si="2"/>
        <v>sample.general.crystal_structure</v>
      </c>
      <c r="D20" s="100"/>
      <c r="E20" s="100"/>
      <c r="F20" s="105" t="s">
        <v>358</v>
      </c>
      <c r="G20" s="9" t="s">
        <v>359</v>
      </c>
      <c r="H20" s="105" t="s">
        <v>172</v>
      </c>
      <c r="I20" s="9"/>
      <c r="J20" s="9"/>
      <c r="K20" s="106"/>
      <c r="L20" s="107"/>
      <c r="M20" s="108"/>
    </row>
    <row r="21" spans="1:14">
      <c r="A21" s="138"/>
      <c r="B21" s="138"/>
      <c r="C21" s="35" t="str">
        <f t="shared" si="2"/>
        <v>sample.general.sample_shape</v>
      </c>
      <c r="D21" s="100"/>
      <c r="E21" s="100"/>
      <c r="F21" s="105" t="s">
        <v>360</v>
      </c>
      <c r="G21" s="9" t="s">
        <v>361</v>
      </c>
      <c r="H21" s="105" t="s">
        <v>172</v>
      </c>
      <c r="I21" s="9"/>
      <c r="J21" s="9"/>
      <c r="K21" s="106"/>
      <c r="L21" s="107"/>
      <c r="M21" s="108"/>
    </row>
    <row r="22" spans="1:14">
      <c r="A22" s="138"/>
      <c r="B22" s="138"/>
      <c r="C22" s="49" t="str">
        <f t="shared" si="2"/>
        <v>sample.general.purchase_date</v>
      </c>
      <c r="D22" s="112"/>
      <c r="E22" s="112"/>
      <c r="F22" s="113" t="s">
        <v>362</v>
      </c>
      <c r="G22" s="13" t="s">
        <v>363</v>
      </c>
      <c r="H22" s="113" t="s">
        <v>172</v>
      </c>
      <c r="I22" s="13"/>
      <c r="J22" s="13"/>
      <c r="K22" s="114"/>
      <c r="L22" s="107"/>
      <c r="M22" s="108"/>
    </row>
    <row r="23" spans="1:14">
      <c r="A23" s="138"/>
      <c r="B23" s="138"/>
      <c r="C23" s="115" t="str">
        <f t="shared" si="2"/>
        <v>sample.general.supplier</v>
      </c>
      <c r="D23" s="116"/>
      <c r="E23" s="116"/>
      <c r="F23" s="117" t="s">
        <v>364</v>
      </c>
      <c r="G23" s="110" t="s">
        <v>365</v>
      </c>
      <c r="H23" s="117" t="s">
        <v>172</v>
      </c>
      <c r="I23" s="110"/>
      <c r="J23" s="110"/>
      <c r="K23" s="110"/>
      <c r="L23" s="109"/>
      <c r="M23" s="108"/>
    </row>
    <row r="24" spans="1:14" ht="18.5" thickBot="1">
      <c r="A24" s="138"/>
      <c r="B24" s="138"/>
      <c r="C24" s="118" t="str">
        <f t="shared" si="2"/>
        <v>sample.general.lot_number_or_product_number_etc</v>
      </c>
      <c r="D24" s="119"/>
      <c r="E24" s="119"/>
      <c r="F24" s="120" t="s">
        <v>366</v>
      </c>
      <c r="G24" s="120" t="s">
        <v>367</v>
      </c>
      <c r="H24" s="120" t="s">
        <v>172</v>
      </c>
      <c r="I24" s="120"/>
      <c r="J24" s="121"/>
      <c r="K24" s="121"/>
      <c r="L24" s="121"/>
      <c r="M24" s="122"/>
    </row>
    <row r="25" spans="1:14">
      <c r="A25" s="133" t="s">
        <v>180</v>
      </c>
      <c r="B25" s="135" t="s">
        <v>181</v>
      </c>
      <c r="C25" s="35" t="s">
        <v>263</v>
      </c>
      <c r="D25" s="36"/>
      <c r="E25" s="36"/>
      <c r="F25" s="10" t="s">
        <v>262</v>
      </c>
      <c r="G25" s="35" t="s">
        <v>261</v>
      </c>
      <c r="H25" s="43" t="s">
        <v>25</v>
      </c>
      <c r="I25" s="10" t="s">
        <v>61</v>
      </c>
      <c r="J25" s="44"/>
      <c r="K25" s="34"/>
      <c r="L25" s="34"/>
    </row>
    <row r="26" spans="1:14">
      <c r="A26" s="133"/>
      <c r="B26" s="136"/>
      <c r="C26" s="35" t="s">
        <v>264</v>
      </c>
      <c r="D26" s="36"/>
      <c r="E26" s="36"/>
      <c r="F26" s="10" t="s">
        <v>207</v>
      </c>
      <c r="G26" s="35" t="s">
        <v>62</v>
      </c>
      <c r="H26" s="45" t="s">
        <v>25</v>
      </c>
      <c r="I26" s="10" t="s">
        <v>29</v>
      </c>
      <c r="J26" s="44"/>
      <c r="K26" s="34"/>
      <c r="L26" s="34"/>
    </row>
    <row r="27" spans="1:14">
      <c r="A27" s="133"/>
      <c r="B27" s="137"/>
      <c r="C27" s="35" t="s">
        <v>265</v>
      </c>
      <c r="D27" s="36"/>
      <c r="E27" s="36"/>
      <c r="F27" s="10" t="s">
        <v>208</v>
      </c>
      <c r="G27" s="35" t="s">
        <v>63</v>
      </c>
      <c r="H27" s="45" t="s">
        <v>25</v>
      </c>
      <c r="I27" s="10" t="s">
        <v>61</v>
      </c>
      <c r="J27" s="44"/>
      <c r="K27" s="34"/>
      <c r="L27" s="34"/>
    </row>
    <row r="28" spans="1:14">
      <c r="A28" s="133"/>
      <c r="B28" s="134" t="s">
        <v>182</v>
      </c>
      <c r="C28" s="35" t="str">
        <f>"common_"&amp;SUBSTITUTE(LOWER(TRIM(G28))," ","_")</f>
        <v>common_data_type</v>
      </c>
      <c r="D28" s="36"/>
      <c r="E28" s="36"/>
      <c r="F28" s="10" t="s">
        <v>183</v>
      </c>
      <c r="G28" s="10" t="s">
        <v>184</v>
      </c>
      <c r="H28" s="10" t="s">
        <v>25</v>
      </c>
      <c r="I28" s="9"/>
      <c r="J28" s="9"/>
      <c r="K28" s="34" t="s">
        <v>209</v>
      </c>
      <c r="L28" s="34"/>
      <c r="N28" s="46"/>
    </row>
    <row r="29" spans="1:14">
      <c r="A29" s="133"/>
      <c r="B29" s="134"/>
      <c r="C29" s="35" t="str">
        <f t="shared" ref="C29:C31" si="3">"common_"&amp;SUBSTITUTE(LOWER(TRIM(G29))," ","_")</f>
        <v>common_data_origin</v>
      </c>
      <c r="D29" s="36"/>
      <c r="E29" s="36"/>
      <c r="F29" s="10" t="s">
        <v>185</v>
      </c>
      <c r="G29" s="10" t="s">
        <v>186</v>
      </c>
      <c r="H29" s="10" t="s">
        <v>25</v>
      </c>
      <c r="I29" s="9"/>
      <c r="J29" s="9"/>
      <c r="K29" s="34" t="s">
        <v>210</v>
      </c>
      <c r="L29" s="34"/>
      <c r="N29" s="46"/>
    </row>
    <row r="30" spans="1:14">
      <c r="A30" s="133"/>
      <c r="B30" s="134"/>
      <c r="C30" s="35" t="str">
        <f t="shared" si="3"/>
        <v>common_technical_category</v>
      </c>
      <c r="D30" s="36"/>
      <c r="E30" s="36"/>
      <c r="F30" s="10" t="s">
        <v>329</v>
      </c>
      <c r="G30" s="10" t="s">
        <v>187</v>
      </c>
      <c r="H30" s="10" t="s">
        <v>25</v>
      </c>
      <c r="I30" s="9"/>
      <c r="J30" s="9"/>
      <c r="K30" s="34" t="s">
        <v>211</v>
      </c>
      <c r="L30" s="34"/>
      <c r="N30" s="46"/>
    </row>
    <row r="31" spans="1:14">
      <c r="A31" s="133"/>
      <c r="B31" s="134"/>
      <c r="C31" s="35" t="str">
        <f t="shared" si="3"/>
        <v>common_reference</v>
      </c>
      <c r="D31" s="36"/>
      <c r="E31" s="36"/>
      <c r="F31" s="10" t="s">
        <v>188</v>
      </c>
      <c r="G31" s="10" t="s">
        <v>189</v>
      </c>
      <c r="H31" s="10" t="s">
        <v>25</v>
      </c>
      <c r="I31" s="9"/>
      <c r="J31" s="9"/>
      <c r="K31" s="34"/>
      <c r="L31" s="34"/>
      <c r="N31" s="46"/>
    </row>
    <row r="32" spans="1:14">
      <c r="A32" s="133"/>
      <c r="B32" s="134" t="s">
        <v>190</v>
      </c>
      <c r="C32" s="35" t="str">
        <f>"measurement_"&amp;SUBSTITUTE(LOWER(TRIM(G32))," ","_")</f>
        <v>measurement_method_category</v>
      </c>
      <c r="D32" s="36"/>
      <c r="E32" s="36"/>
      <c r="F32" s="10" t="s">
        <v>330</v>
      </c>
      <c r="G32" s="10" t="s">
        <v>191</v>
      </c>
      <c r="H32" s="10" t="s">
        <v>25</v>
      </c>
      <c r="I32" s="9"/>
      <c r="J32" s="9"/>
      <c r="K32" s="47" t="s">
        <v>212</v>
      </c>
      <c r="L32" s="48"/>
      <c r="N32" s="46"/>
    </row>
    <row r="33" spans="1:14">
      <c r="A33" s="133"/>
      <c r="B33" s="134"/>
      <c r="C33" s="49" t="str">
        <f t="shared" ref="C33:C39" si="4">"measurement_"&amp;SUBSTITUTE(LOWER(TRIM(G33))," ","_")</f>
        <v>measurement_method_sub-category</v>
      </c>
      <c r="D33" s="50"/>
      <c r="E33" s="50"/>
      <c r="F33" s="14" t="s">
        <v>192</v>
      </c>
      <c r="G33" s="14" t="s">
        <v>193</v>
      </c>
      <c r="H33" s="10" t="s">
        <v>25</v>
      </c>
      <c r="I33" s="13"/>
      <c r="J33" s="13"/>
      <c r="K33" s="47" t="s">
        <v>213</v>
      </c>
      <c r="L33" s="48"/>
      <c r="N33" s="46"/>
    </row>
    <row r="34" spans="1:14">
      <c r="A34" s="133"/>
      <c r="B34" s="134"/>
      <c r="C34" s="49" t="str">
        <f t="shared" si="4"/>
        <v>measurement_analysis_field</v>
      </c>
      <c r="D34" s="50"/>
      <c r="E34" s="50"/>
      <c r="F34" s="14" t="s">
        <v>194</v>
      </c>
      <c r="G34" s="14" t="s">
        <v>195</v>
      </c>
      <c r="H34" s="10" t="s">
        <v>25</v>
      </c>
      <c r="I34" s="13"/>
      <c r="J34" s="13"/>
      <c r="K34" s="34"/>
      <c r="L34" s="34"/>
      <c r="N34" s="46"/>
    </row>
    <row r="35" spans="1:14">
      <c r="A35" s="133"/>
      <c r="B35" s="134"/>
      <c r="C35" s="49" t="str">
        <f t="shared" si="4"/>
        <v>measurement_measurement_environment</v>
      </c>
      <c r="D35" s="50"/>
      <c r="E35" s="50"/>
      <c r="F35" s="14" t="s">
        <v>196</v>
      </c>
      <c r="G35" s="14" t="s">
        <v>197</v>
      </c>
      <c r="H35" s="10" t="s">
        <v>25</v>
      </c>
      <c r="I35" s="13"/>
      <c r="J35" s="13"/>
      <c r="K35" s="51"/>
      <c r="L35" s="51"/>
      <c r="N35" s="46"/>
    </row>
    <row r="36" spans="1:14">
      <c r="A36" s="133"/>
      <c r="B36" s="134"/>
      <c r="C36" s="49" t="str">
        <f t="shared" si="4"/>
        <v>measurement_energy_level_transition_structure_etc._of_interest</v>
      </c>
      <c r="D36" s="50"/>
      <c r="E36" s="50"/>
      <c r="F36" s="14" t="s">
        <v>198</v>
      </c>
      <c r="G36" s="14" t="s">
        <v>199</v>
      </c>
      <c r="H36" s="10" t="s">
        <v>25</v>
      </c>
      <c r="I36" s="13"/>
      <c r="J36" s="13"/>
      <c r="K36" s="51"/>
      <c r="L36" s="51"/>
      <c r="N36" s="46"/>
    </row>
    <row r="37" spans="1:14">
      <c r="A37" s="133"/>
      <c r="B37" s="134"/>
      <c r="C37" s="52" t="str">
        <f t="shared" si="4"/>
        <v>measurement_measured_date</v>
      </c>
      <c r="D37" s="53"/>
      <c r="E37" s="53"/>
      <c r="F37" s="54" t="s">
        <v>200</v>
      </c>
      <c r="G37" s="54" t="s">
        <v>201</v>
      </c>
      <c r="H37" s="54" t="s">
        <v>202</v>
      </c>
      <c r="I37" s="55"/>
      <c r="J37" s="55"/>
      <c r="K37" s="56"/>
      <c r="L37" s="57"/>
      <c r="N37" s="46"/>
    </row>
    <row r="38" spans="1:14">
      <c r="A38" s="133"/>
      <c r="B38" s="134"/>
      <c r="C38" s="49" t="str">
        <f t="shared" si="4"/>
        <v>measurement_standardized_procedure</v>
      </c>
      <c r="D38" s="50"/>
      <c r="E38" s="50"/>
      <c r="F38" s="14" t="s">
        <v>203</v>
      </c>
      <c r="G38" s="14" t="s">
        <v>204</v>
      </c>
      <c r="H38" s="14" t="s">
        <v>25</v>
      </c>
      <c r="I38" s="13"/>
      <c r="J38" s="13"/>
      <c r="K38" s="51"/>
      <c r="L38" s="51"/>
      <c r="N38" s="46"/>
    </row>
    <row r="39" spans="1:14" ht="18.5" thickBot="1">
      <c r="A39" s="133"/>
      <c r="B39" s="134"/>
      <c r="C39" s="37" t="str">
        <f t="shared" si="4"/>
        <v>measurement_instrumentation_site</v>
      </c>
      <c r="D39" s="38"/>
      <c r="E39" s="38"/>
      <c r="F39" s="39" t="s">
        <v>205</v>
      </c>
      <c r="G39" s="39" t="s">
        <v>206</v>
      </c>
      <c r="H39" s="39" t="s">
        <v>25</v>
      </c>
      <c r="I39" s="40"/>
      <c r="J39" s="40"/>
      <c r="K39" s="58"/>
      <c r="L39" s="58"/>
      <c r="N39" s="46"/>
    </row>
    <row r="40" spans="1:14" ht="20">
      <c r="G40" s="59"/>
    </row>
  </sheetData>
  <mergeCells count="8">
    <mergeCell ref="A4:B4"/>
    <mergeCell ref="A5:B10"/>
    <mergeCell ref="A25:A39"/>
    <mergeCell ref="B25:B27"/>
    <mergeCell ref="B28:B31"/>
    <mergeCell ref="B32:B39"/>
    <mergeCell ref="A11:A24"/>
    <mergeCell ref="B11:B24"/>
  </mergeCells>
  <phoneticPr fontId="3"/>
  <conditionalFormatting sqref="K5:L10 K25:L31">
    <cfRule type="expression" dxfId="5" priority="3">
      <formula>#REF!=1</formula>
    </cfRule>
    <cfRule type="expression" dxfId="4" priority="4">
      <formula>#REF!=1</formula>
    </cfRule>
  </conditionalFormatting>
  <conditionalFormatting sqref="L32:L33 K34:L39">
    <cfRule type="expression" dxfId="3" priority="5">
      <formula>#REF!=1</formula>
    </cfRule>
    <cfRule type="expression" dxfId="2" priority="6">
      <formula>#REF!=1</formula>
    </cfRule>
  </conditionalFormatting>
  <conditionalFormatting sqref="M11:M24">
    <cfRule type="expression" dxfId="1" priority="1">
      <formula>#REF!=1</formula>
    </cfRule>
    <cfRule type="expression" dxfId="0" priority="2">
      <formula>#REF!=1</formula>
    </cfRule>
  </conditionalFormatting>
  <dataValidations count="2">
    <dataValidation type="list" allowBlank="1" showInputMessage="1" showErrorMessage="1" sqref="H5:H39 I24" xr:uid="{ECDAD773-889E-4C21-9072-EA469B9B8BD4}">
      <formula1>"string,string[date],number,integer"</formula1>
    </dataValidation>
    <dataValidation type="list" allowBlank="1" showInputMessage="1" showErrorMessage="1" sqref="K5:L5" xr:uid="{637FCBDC-FAEC-4F5C-B596-0398196CFA36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9585B-E515-41B6-A0D4-C571727EFA2A}">
  <dimension ref="A1:N44"/>
  <sheetViews>
    <sheetView zoomScale="85" zoomScaleNormal="85" workbookViewId="0">
      <pane ySplit="1" topLeftCell="A2" activePane="bottomLeft" state="frozen"/>
      <selection pane="bottomLeft" activeCell="D47" sqref="D47"/>
    </sheetView>
  </sheetViews>
  <sheetFormatPr defaultColWidth="9" defaultRowHeight="18"/>
  <cols>
    <col min="1" max="1" width="15.08203125" style="1" bestFit="1" customWidth="1"/>
    <col min="2" max="2" width="7.08203125" style="1" bestFit="1" customWidth="1"/>
    <col min="3" max="3" width="47.58203125" style="1" customWidth="1"/>
    <col min="4" max="4" width="37.75" style="1" bestFit="1" customWidth="1"/>
    <col min="5" max="5" width="9" style="1" bestFit="1" customWidth="1"/>
    <col min="6" max="6" width="48.08203125" style="1" customWidth="1"/>
    <col min="7" max="7" width="48.75" style="1" customWidth="1"/>
    <col min="8" max="8" width="15.08203125" style="1" bestFit="1" customWidth="1"/>
    <col min="9" max="9" width="15.08203125" style="1" customWidth="1"/>
    <col min="10" max="10" width="7.75" style="1" bestFit="1" customWidth="1"/>
    <col min="11" max="11" width="7.75" style="1" customWidth="1"/>
    <col min="12" max="12" width="5.58203125" style="1" bestFit="1" customWidth="1"/>
    <col min="13" max="13" width="6.5" style="1" customWidth="1"/>
    <col min="14" max="14" width="32.58203125" style="1" customWidth="1"/>
    <col min="15" max="15" width="44.33203125" style="1" customWidth="1"/>
    <col min="16" max="16384" width="9" style="1"/>
  </cols>
  <sheetData>
    <row r="1" spans="1:14">
      <c r="A1" s="1" t="s">
        <v>0</v>
      </c>
      <c r="C1" s="1" t="s">
        <v>1</v>
      </c>
      <c r="D1" s="1" t="s">
        <v>2</v>
      </c>
      <c r="F1" s="1" t="s">
        <v>3</v>
      </c>
      <c r="G1" s="1" t="s">
        <v>4</v>
      </c>
      <c r="H1" s="2" t="s">
        <v>5</v>
      </c>
      <c r="I1" s="2" t="s">
        <v>94</v>
      </c>
      <c r="J1" s="1" t="s">
        <v>6</v>
      </c>
      <c r="K1" s="1" t="s">
        <v>21</v>
      </c>
      <c r="L1" s="1" t="s">
        <v>7</v>
      </c>
      <c r="M1" s="2" t="s">
        <v>8</v>
      </c>
    </row>
    <row r="2" spans="1:14" ht="108">
      <c r="A2" s="3" t="s">
        <v>9</v>
      </c>
      <c r="B2" s="4" t="s">
        <v>10</v>
      </c>
      <c r="C2" s="3" t="s">
        <v>11</v>
      </c>
      <c r="D2" s="5" t="s">
        <v>12</v>
      </c>
      <c r="E2" s="3" t="s">
        <v>13</v>
      </c>
      <c r="F2" s="5" t="s">
        <v>14</v>
      </c>
      <c r="G2" s="5" t="s">
        <v>15</v>
      </c>
      <c r="H2" s="3" t="s">
        <v>16</v>
      </c>
      <c r="I2" s="3"/>
      <c r="J2" s="4" t="s">
        <v>17</v>
      </c>
      <c r="K2" s="4"/>
      <c r="L2" s="4" t="s">
        <v>18</v>
      </c>
      <c r="M2" s="6" t="s">
        <v>19</v>
      </c>
      <c r="N2" s="7" t="s">
        <v>20</v>
      </c>
    </row>
    <row r="3" spans="1:14">
      <c r="A3" s="8"/>
      <c r="B3" s="9"/>
      <c r="C3" s="8" t="s">
        <v>277</v>
      </c>
      <c r="D3" s="10" t="s">
        <v>279</v>
      </c>
      <c r="E3" s="8"/>
      <c r="F3" s="10" t="s">
        <v>101</v>
      </c>
      <c r="G3" s="10" t="s">
        <v>64</v>
      </c>
      <c r="H3" s="8" t="s">
        <v>25</v>
      </c>
      <c r="I3" s="8">
        <v>1</v>
      </c>
      <c r="J3" s="9"/>
      <c r="K3" s="9"/>
      <c r="L3" s="9"/>
      <c r="M3" s="11"/>
      <c r="N3" s="12"/>
    </row>
    <row r="4" spans="1:14">
      <c r="A4" s="8"/>
      <c r="B4" s="9"/>
      <c r="C4" s="8" t="s">
        <v>278</v>
      </c>
      <c r="D4" s="10" t="s">
        <v>279</v>
      </c>
      <c r="E4" s="8"/>
      <c r="F4" s="10" t="s">
        <v>102</v>
      </c>
      <c r="G4" s="10" t="s">
        <v>65</v>
      </c>
      <c r="H4" s="8" t="s">
        <v>27</v>
      </c>
      <c r="I4" s="8">
        <v>2</v>
      </c>
      <c r="J4" s="9" t="s">
        <v>22</v>
      </c>
      <c r="K4" s="9"/>
      <c r="L4" s="9"/>
      <c r="M4" s="11"/>
      <c r="N4" s="12"/>
    </row>
    <row r="5" spans="1:14">
      <c r="A5" s="8"/>
      <c r="B5" s="9"/>
      <c r="C5" s="8" t="s">
        <v>30</v>
      </c>
      <c r="D5" s="10" t="s">
        <v>279</v>
      </c>
      <c r="E5" s="8"/>
      <c r="F5" s="10" t="s">
        <v>103</v>
      </c>
      <c r="G5" s="10" t="s">
        <v>66</v>
      </c>
      <c r="H5" s="8" t="s">
        <v>27</v>
      </c>
      <c r="I5" s="8">
        <v>3</v>
      </c>
      <c r="J5" s="9" t="s">
        <v>23</v>
      </c>
      <c r="K5" s="9"/>
      <c r="L5" s="9"/>
      <c r="M5" s="11"/>
      <c r="N5" s="12"/>
    </row>
    <row r="6" spans="1:14">
      <c r="A6" s="8"/>
      <c r="B6" s="9"/>
      <c r="C6" s="8" t="s">
        <v>31</v>
      </c>
      <c r="D6" s="10" t="s">
        <v>279</v>
      </c>
      <c r="E6" s="8"/>
      <c r="F6" s="10" t="s">
        <v>104</v>
      </c>
      <c r="G6" s="10" t="s">
        <v>67</v>
      </c>
      <c r="H6" s="8" t="s">
        <v>27</v>
      </c>
      <c r="I6" s="8">
        <v>4</v>
      </c>
      <c r="J6" s="9" t="s">
        <v>24</v>
      </c>
      <c r="K6" s="9"/>
      <c r="L6" s="9"/>
      <c r="M6" s="11"/>
      <c r="N6" s="12"/>
    </row>
    <row r="7" spans="1:14">
      <c r="A7" s="8"/>
      <c r="B7" s="9"/>
      <c r="C7" s="8" t="s">
        <v>32</v>
      </c>
      <c r="D7" s="10" t="s">
        <v>279</v>
      </c>
      <c r="E7" s="8"/>
      <c r="F7" s="10" t="s">
        <v>105</v>
      </c>
      <c r="G7" s="10" t="s">
        <v>68</v>
      </c>
      <c r="H7" s="8" t="s">
        <v>27</v>
      </c>
      <c r="I7" s="8">
        <v>5</v>
      </c>
      <c r="J7" s="9"/>
      <c r="K7" s="9"/>
      <c r="L7" s="9"/>
      <c r="M7" s="11"/>
      <c r="N7" s="12"/>
    </row>
    <row r="8" spans="1:14">
      <c r="A8" s="8"/>
      <c r="B8" s="9"/>
      <c r="C8" s="8" t="s">
        <v>33</v>
      </c>
      <c r="D8" s="10" t="s">
        <v>279</v>
      </c>
      <c r="E8" s="8"/>
      <c r="F8" s="10" t="s">
        <v>106</v>
      </c>
      <c r="G8" s="10" t="s">
        <v>69</v>
      </c>
      <c r="H8" s="8" t="s">
        <v>25</v>
      </c>
      <c r="I8" s="8">
        <v>6</v>
      </c>
      <c r="J8" s="9"/>
      <c r="K8" s="9"/>
      <c r="L8" s="9"/>
      <c r="M8" s="11"/>
      <c r="N8" s="12"/>
    </row>
    <row r="9" spans="1:14">
      <c r="A9" s="8"/>
      <c r="B9" s="9"/>
      <c r="C9" s="8" t="s">
        <v>34</v>
      </c>
      <c r="D9" s="10" t="s">
        <v>279</v>
      </c>
      <c r="E9" s="8"/>
      <c r="F9" s="10" t="s">
        <v>107</v>
      </c>
      <c r="G9" s="10" t="s">
        <v>70</v>
      </c>
      <c r="H9" s="8" t="s">
        <v>27</v>
      </c>
      <c r="I9" s="8">
        <v>7</v>
      </c>
      <c r="J9" s="9" t="s">
        <v>22</v>
      </c>
      <c r="K9" s="9"/>
      <c r="L9" s="9"/>
      <c r="M9" s="11"/>
      <c r="N9" s="12"/>
    </row>
    <row r="10" spans="1:14">
      <c r="A10" s="8"/>
      <c r="B10" s="9"/>
      <c r="C10" s="8" t="s">
        <v>35</v>
      </c>
      <c r="D10" s="10" t="s">
        <v>279</v>
      </c>
      <c r="E10" s="8"/>
      <c r="F10" s="10" t="s">
        <v>108</v>
      </c>
      <c r="G10" s="10" t="s">
        <v>71</v>
      </c>
      <c r="H10" s="8" t="s">
        <v>27</v>
      </c>
      <c r="I10" s="8">
        <v>8</v>
      </c>
      <c r="J10" s="9" t="s">
        <v>23</v>
      </c>
      <c r="K10" s="9"/>
      <c r="L10" s="9"/>
      <c r="M10" s="11"/>
      <c r="N10" s="12"/>
    </row>
    <row r="11" spans="1:14">
      <c r="A11" s="8"/>
      <c r="B11" s="9"/>
      <c r="C11" s="8" t="s">
        <v>36</v>
      </c>
      <c r="D11" s="10" t="s">
        <v>279</v>
      </c>
      <c r="E11" s="8"/>
      <c r="F11" s="10" t="s">
        <v>109</v>
      </c>
      <c r="G11" s="10" t="s">
        <v>72</v>
      </c>
      <c r="H11" s="8" t="s">
        <v>27</v>
      </c>
      <c r="I11" s="8">
        <v>9</v>
      </c>
      <c r="J11" s="9" t="s">
        <v>24</v>
      </c>
      <c r="K11" s="9"/>
      <c r="L11" s="9"/>
      <c r="M11" s="11"/>
      <c r="N11" s="12"/>
    </row>
    <row r="12" spans="1:14">
      <c r="A12" s="8"/>
      <c r="B12" s="9"/>
      <c r="C12" s="8" t="s">
        <v>37</v>
      </c>
      <c r="D12" s="10" t="s">
        <v>279</v>
      </c>
      <c r="E12" s="8"/>
      <c r="F12" s="10" t="s">
        <v>110</v>
      </c>
      <c r="G12" s="10" t="s">
        <v>73</v>
      </c>
      <c r="H12" s="8" t="s">
        <v>27</v>
      </c>
      <c r="I12" s="8">
        <v>10</v>
      </c>
      <c r="J12" s="9"/>
      <c r="K12" s="9"/>
      <c r="L12" s="9"/>
      <c r="M12" s="11"/>
      <c r="N12" s="12"/>
    </row>
    <row r="13" spans="1:14">
      <c r="A13" s="8"/>
      <c r="B13" s="9"/>
      <c r="C13" s="8" t="s">
        <v>38</v>
      </c>
      <c r="D13" s="10" t="s">
        <v>279</v>
      </c>
      <c r="E13" s="8"/>
      <c r="F13" s="10" t="s">
        <v>111</v>
      </c>
      <c r="G13" s="10" t="s">
        <v>138</v>
      </c>
      <c r="H13" s="8" t="s">
        <v>25</v>
      </c>
      <c r="I13" s="8">
        <v>11</v>
      </c>
      <c r="J13" s="9"/>
      <c r="K13" s="9"/>
      <c r="L13" s="9"/>
      <c r="M13" s="11"/>
      <c r="N13" s="12"/>
    </row>
    <row r="14" spans="1:14">
      <c r="A14" s="8"/>
      <c r="B14" s="9"/>
      <c r="C14" s="8" t="s">
        <v>39</v>
      </c>
      <c r="D14" s="10" t="s">
        <v>279</v>
      </c>
      <c r="E14" s="8"/>
      <c r="F14" s="10" t="s">
        <v>112</v>
      </c>
      <c r="G14" s="10" t="s">
        <v>139</v>
      </c>
      <c r="H14" s="8" t="s">
        <v>27</v>
      </c>
      <c r="I14" s="8">
        <v>12</v>
      </c>
      <c r="J14" s="9" t="s">
        <v>22</v>
      </c>
      <c r="K14" s="9"/>
      <c r="L14" s="9"/>
      <c r="M14" s="11"/>
      <c r="N14" s="12"/>
    </row>
    <row r="15" spans="1:14">
      <c r="A15" s="8"/>
      <c r="B15" s="9"/>
      <c r="C15" s="8" t="s">
        <v>40</v>
      </c>
      <c r="D15" s="10" t="s">
        <v>279</v>
      </c>
      <c r="E15" s="8"/>
      <c r="F15" s="10" t="s">
        <v>113</v>
      </c>
      <c r="G15" s="10" t="s">
        <v>140</v>
      </c>
      <c r="H15" s="8" t="s">
        <v>27</v>
      </c>
      <c r="I15" s="8">
        <v>13</v>
      </c>
      <c r="J15" s="9" t="s">
        <v>23</v>
      </c>
      <c r="K15" s="9"/>
      <c r="L15" s="9"/>
      <c r="M15" s="11"/>
      <c r="N15" s="12"/>
    </row>
    <row r="16" spans="1:14">
      <c r="A16" s="8"/>
      <c r="B16" s="9"/>
      <c r="C16" s="8" t="s">
        <v>41</v>
      </c>
      <c r="D16" s="10" t="s">
        <v>279</v>
      </c>
      <c r="E16" s="8"/>
      <c r="F16" s="15" t="s">
        <v>114</v>
      </c>
      <c r="G16" s="10" t="s">
        <v>141</v>
      </c>
      <c r="H16" s="8" t="s">
        <v>27</v>
      </c>
      <c r="I16" s="8">
        <v>14</v>
      </c>
      <c r="J16" s="9" t="s">
        <v>24</v>
      </c>
      <c r="K16" s="9"/>
      <c r="L16" s="9"/>
      <c r="M16" s="11"/>
      <c r="N16" s="12"/>
    </row>
    <row r="17" spans="1:14">
      <c r="A17" s="8"/>
      <c r="B17" s="9"/>
      <c r="C17" s="8" t="s">
        <v>42</v>
      </c>
      <c r="D17" s="10" t="s">
        <v>279</v>
      </c>
      <c r="E17" s="8"/>
      <c r="F17" s="15" t="s">
        <v>115</v>
      </c>
      <c r="G17" s="10" t="s">
        <v>142</v>
      </c>
      <c r="H17" s="8" t="s">
        <v>27</v>
      </c>
      <c r="I17" s="8">
        <v>15</v>
      </c>
      <c r="J17" s="9"/>
      <c r="K17" s="9"/>
      <c r="L17" s="9"/>
      <c r="M17" s="11"/>
      <c r="N17" s="12"/>
    </row>
    <row r="18" spans="1:14">
      <c r="A18" s="8"/>
      <c r="B18" s="9"/>
      <c r="C18" s="8" t="s">
        <v>43</v>
      </c>
      <c r="D18" s="10" t="s">
        <v>279</v>
      </c>
      <c r="E18" s="8"/>
      <c r="F18" s="15" t="s">
        <v>116</v>
      </c>
      <c r="G18" s="10" t="s">
        <v>74</v>
      </c>
      <c r="H18" s="8" t="s">
        <v>25</v>
      </c>
      <c r="I18" s="8">
        <v>16</v>
      </c>
      <c r="J18" s="9"/>
      <c r="K18" s="9"/>
      <c r="L18" s="9"/>
      <c r="M18" s="11"/>
      <c r="N18" s="12"/>
    </row>
    <row r="19" spans="1:14">
      <c r="A19" s="8"/>
      <c r="B19" s="9"/>
      <c r="C19" s="8" t="s">
        <v>44</v>
      </c>
      <c r="D19" s="10" t="s">
        <v>279</v>
      </c>
      <c r="E19" s="8"/>
      <c r="F19" s="15" t="s">
        <v>117</v>
      </c>
      <c r="G19" s="10" t="s">
        <v>75</v>
      </c>
      <c r="H19" s="8" t="s">
        <v>27</v>
      </c>
      <c r="I19" s="8">
        <v>17</v>
      </c>
      <c r="J19" s="9" t="s">
        <v>22</v>
      </c>
      <c r="K19" s="9"/>
      <c r="L19" s="9"/>
      <c r="M19" s="11"/>
      <c r="N19" s="12"/>
    </row>
    <row r="20" spans="1:14">
      <c r="A20" s="8"/>
      <c r="B20" s="9"/>
      <c r="C20" s="8" t="s">
        <v>45</v>
      </c>
      <c r="D20" s="10" t="s">
        <v>279</v>
      </c>
      <c r="E20" s="8"/>
      <c r="F20" s="15" t="s">
        <v>118</v>
      </c>
      <c r="G20" s="10" t="s">
        <v>76</v>
      </c>
      <c r="H20" s="8" t="s">
        <v>27</v>
      </c>
      <c r="I20" s="8">
        <v>18</v>
      </c>
      <c r="J20" s="9" t="s">
        <v>23</v>
      </c>
      <c r="K20" s="9"/>
      <c r="L20" s="9"/>
      <c r="M20" s="11"/>
      <c r="N20" s="12"/>
    </row>
    <row r="21" spans="1:14">
      <c r="A21" s="8"/>
      <c r="B21" s="9"/>
      <c r="C21" s="8" t="s">
        <v>46</v>
      </c>
      <c r="D21" s="10" t="s">
        <v>279</v>
      </c>
      <c r="E21" s="8"/>
      <c r="F21" s="10" t="s">
        <v>119</v>
      </c>
      <c r="G21" s="10" t="s">
        <v>77</v>
      </c>
      <c r="H21" s="8" t="s">
        <v>27</v>
      </c>
      <c r="I21" s="8">
        <v>19</v>
      </c>
      <c r="J21" s="9" t="s">
        <v>24</v>
      </c>
      <c r="K21" s="9"/>
      <c r="L21" s="9"/>
      <c r="M21" s="11"/>
      <c r="N21" s="12"/>
    </row>
    <row r="22" spans="1:14">
      <c r="A22" s="8"/>
      <c r="B22" s="9"/>
      <c r="C22" s="8" t="s">
        <v>47</v>
      </c>
      <c r="D22" s="10" t="s">
        <v>279</v>
      </c>
      <c r="E22" s="8"/>
      <c r="F22" s="10" t="s">
        <v>120</v>
      </c>
      <c r="G22" s="10" t="s">
        <v>78</v>
      </c>
      <c r="H22" s="8" t="s">
        <v>27</v>
      </c>
      <c r="I22" s="8">
        <v>20</v>
      </c>
      <c r="J22" s="9"/>
      <c r="K22" s="9"/>
      <c r="L22" s="9"/>
      <c r="M22" s="11"/>
      <c r="N22" s="12"/>
    </row>
    <row r="23" spans="1:14">
      <c r="A23" s="8"/>
      <c r="B23" s="9"/>
      <c r="C23" s="8" t="s">
        <v>48</v>
      </c>
      <c r="D23" s="10" t="s">
        <v>279</v>
      </c>
      <c r="E23" s="8"/>
      <c r="F23" s="10" t="s">
        <v>121</v>
      </c>
      <c r="G23" s="10" t="s">
        <v>79</v>
      </c>
      <c r="H23" s="8" t="s">
        <v>25</v>
      </c>
      <c r="I23" s="8">
        <v>21</v>
      </c>
      <c r="J23" s="9"/>
      <c r="K23" s="9"/>
      <c r="L23" s="9"/>
      <c r="M23" s="11"/>
      <c r="N23" s="12"/>
    </row>
    <row r="24" spans="1:14">
      <c r="A24" s="8"/>
      <c r="B24" s="9"/>
      <c r="C24" s="8" t="s">
        <v>49</v>
      </c>
      <c r="D24" s="10" t="s">
        <v>279</v>
      </c>
      <c r="E24" s="8"/>
      <c r="F24" s="10" t="s">
        <v>122</v>
      </c>
      <c r="G24" s="10" t="s">
        <v>80</v>
      </c>
      <c r="H24" s="8" t="s">
        <v>27</v>
      </c>
      <c r="I24" s="8">
        <v>22</v>
      </c>
      <c r="J24" s="9" t="s">
        <v>22</v>
      </c>
      <c r="K24" s="9"/>
      <c r="L24" s="9"/>
      <c r="M24" s="11"/>
      <c r="N24" s="12"/>
    </row>
    <row r="25" spans="1:14">
      <c r="A25" s="8"/>
      <c r="B25" s="9"/>
      <c r="C25" s="8" t="s">
        <v>50</v>
      </c>
      <c r="D25" s="10" t="s">
        <v>279</v>
      </c>
      <c r="E25" s="8"/>
      <c r="F25" s="10" t="s">
        <v>123</v>
      </c>
      <c r="G25" s="10" t="s">
        <v>81</v>
      </c>
      <c r="H25" s="8" t="s">
        <v>27</v>
      </c>
      <c r="I25" s="8">
        <v>23</v>
      </c>
      <c r="J25" s="9" t="s">
        <v>23</v>
      </c>
      <c r="K25" s="9"/>
      <c r="L25" s="9"/>
      <c r="M25" s="11"/>
      <c r="N25" s="12"/>
    </row>
    <row r="26" spans="1:14">
      <c r="A26" s="8"/>
      <c r="B26" s="9"/>
      <c r="C26" s="8" t="s">
        <v>51</v>
      </c>
      <c r="D26" s="10" t="s">
        <v>279</v>
      </c>
      <c r="E26" s="8"/>
      <c r="F26" s="10" t="s">
        <v>124</v>
      </c>
      <c r="G26" s="10" t="s">
        <v>82</v>
      </c>
      <c r="H26" s="8" t="s">
        <v>27</v>
      </c>
      <c r="I26" s="8">
        <v>24</v>
      </c>
      <c r="J26" s="9" t="s">
        <v>24</v>
      </c>
      <c r="K26" s="9"/>
      <c r="L26" s="9"/>
      <c r="M26" s="11"/>
      <c r="N26" s="12"/>
    </row>
    <row r="27" spans="1:14">
      <c r="A27" s="8"/>
      <c r="B27" s="9"/>
      <c r="C27" s="8" t="s">
        <v>52</v>
      </c>
      <c r="D27" s="10" t="s">
        <v>279</v>
      </c>
      <c r="E27" s="8"/>
      <c r="F27" s="10" t="s">
        <v>125</v>
      </c>
      <c r="G27" s="10" t="s">
        <v>83</v>
      </c>
      <c r="H27" s="8" t="s">
        <v>27</v>
      </c>
      <c r="I27" s="8">
        <v>25</v>
      </c>
      <c r="J27" s="9"/>
      <c r="K27" s="9"/>
      <c r="L27" s="9"/>
      <c r="M27" s="11"/>
      <c r="N27" s="12"/>
    </row>
    <row r="28" spans="1:14">
      <c r="A28" s="8"/>
      <c r="B28" s="9"/>
      <c r="C28" s="8" t="s">
        <v>53</v>
      </c>
      <c r="D28" s="10" t="s">
        <v>279</v>
      </c>
      <c r="E28" s="8"/>
      <c r="F28" s="10" t="s">
        <v>126</v>
      </c>
      <c r="G28" s="10" t="s">
        <v>143</v>
      </c>
      <c r="H28" s="8" t="s">
        <v>25</v>
      </c>
      <c r="I28" s="8">
        <v>26</v>
      </c>
      <c r="J28" s="9"/>
      <c r="K28" s="9"/>
      <c r="L28" s="9"/>
      <c r="M28" s="11"/>
      <c r="N28" s="12"/>
    </row>
    <row r="29" spans="1:14">
      <c r="A29" s="8"/>
      <c r="B29" s="9"/>
      <c r="C29" s="8" t="s">
        <v>54</v>
      </c>
      <c r="D29" s="10" t="s">
        <v>279</v>
      </c>
      <c r="E29" s="8"/>
      <c r="F29" s="10" t="s">
        <v>127</v>
      </c>
      <c r="G29" s="10" t="s">
        <v>144</v>
      </c>
      <c r="H29" s="8" t="s">
        <v>27</v>
      </c>
      <c r="I29" s="8">
        <v>27</v>
      </c>
      <c r="J29" s="9" t="s">
        <v>22</v>
      </c>
      <c r="K29" s="9"/>
      <c r="L29" s="9"/>
      <c r="M29" s="11"/>
      <c r="N29" s="12"/>
    </row>
    <row r="30" spans="1:14">
      <c r="A30" s="8"/>
      <c r="B30" s="9"/>
      <c r="C30" s="8" t="s">
        <v>55</v>
      </c>
      <c r="D30" s="10" t="s">
        <v>279</v>
      </c>
      <c r="E30" s="8"/>
      <c r="F30" s="10" t="s">
        <v>128</v>
      </c>
      <c r="G30" s="10" t="s">
        <v>145</v>
      </c>
      <c r="H30" s="8" t="s">
        <v>27</v>
      </c>
      <c r="I30" s="8">
        <v>28</v>
      </c>
      <c r="J30" s="9" t="s">
        <v>23</v>
      </c>
      <c r="K30" s="9"/>
      <c r="L30" s="9"/>
      <c r="M30" s="11"/>
      <c r="N30" s="12"/>
    </row>
    <row r="31" spans="1:14">
      <c r="A31" s="8"/>
      <c r="B31" s="9"/>
      <c r="C31" s="8" t="s">
        <v>56</v>
      </c>
      <c r="D31" s="10" t="s">
        <v>279</v>
      </c>
      <c r="E31" s="8"/>
      <c r="F31" s="15" t="s">
        <v>129</v>
      </c>
      <c r="G31" s="10" t="s">
        <v>146</v>
      </c>
      <c r="H31" s="8" t="s">
        <v>27</v>
      </c>
      <c r="I31" s="8">
        <v>29</v>
      </c>
      <c r="J31" s="9" t="s">
        <v>24</v>
      </c>
      <c r="K31" s="9"/>
      <c r="L31" s="9"/>
      <c r="M31" s="11"/>
      <c r="N31" s="12"/>
    </row>
    <row r="32" spans="1:14">
      <c r="A32" s="8"/>
      <c r="B32" s="9"/>
      <c r="C32" s="8" t="s">
        <v>57</v>
      </c>
      <c r="D32" s="10" t="s">
        <v>279</v>
      </c>
      <c r="E32" s="8"/>
      <c r="F32" s="15" t="s">
        <v>130</v>
      </c>
      <c r="G32" s="10" t="s">
        <v>147</v>
      </c>
      <c r="H32" s="8" t="s">
        <v>27</v>
      </c>
      <c r="I32" s="8">
        <v>30</v>
      </c>
      <c r="J32" s="9"/>
      <c r="K32" s="9"/>
      <c r="L32" s="9"/>
      <c r="M32" s="11"/>
      <c r="N32" s="12"/>
    </row>
    <row r="33" spans="1:14">
      <c r="A33" s="8"/>
      <c r="B33" s="9"/>
      <c r="C33" s="8" t="s">
        <v>95</v>
      </c>
      <c r="D33" s="10" t="s">
        <v>276</v>
      </c>
      <c r="E33" s="8"/>
      <c r="F33" s="15" t="s">
        <v>131</v>
      </c>
      <c r="G33" s="10" t="s">
        <v>148</v>
      </c>
      <c r="H33" s="8" t="s">
        <v>25</v>
      </c>
      <c r="I33" s="8">
        <v>31</v>
      </c>
      <c r="J33" s="9"/>
      <c r="K33" s="9">
        <v>1</v>
      </c>
      <c r="L33" s="9"/>
      <c r="M33" s="11"/>
      <c r="N33" s="12" t="s">
        <v>21</v>
      </c>
    </row>
    <row r="34" spans="1:14" ht="36">
      <c r="A34" s="8"/>
      <c r="B34" s="9"/>
      <c r="C34" s="8" t="s">
        <v>92</v>
      </c>
      <c r="D34" s="10" t="s">
        <v>275</v>
      </c>
      <c r="E34" s="8"/>
      <c r="F34" s="15" t="s">
        <v>132</v>
      </c>
      <c r="G34" s="10" t="s">
        <v>149</v>
      </c>
      <c r="H34" s="8" t="s">
        <v>25</v>
      </c>
      <c r="I34" s="8">
        <v>32</v>
      </c>
      <c r="J34" s="9" t="s">
        <v>155</v>
      </c>
      <c r="K34" s="9">
        <v>1</v>
      </c>
      <c r="L34" s="9"/>
      <c r="M34" s="11"/>
      <c r="N34" s="12" t="s">
        <v>93</v>
      </c>
    </row>
    <row r="35" spans="1:14" ht="36">
      <c r="A35" s="8"/>
      <c r="B35" s="9"/>
      <c r="C35" s="8" t="s">
        <v>96</v>
      </c>
      <c r="D35" s="10" t="s">
        <v>274</v>
      </c>
      <c r="E35" s="8"/>
      <c r="F35" s="15" t="s">
        <v>133</v>
      </c>
      <c r="G35" s="10" t="s">
        <v>150</v>
      </c>
      <c r="H35" s="8" t="s">
        <v>25</v>
      </c>
      <c r="I35" s="8">
        <v>33</v>
      </c>
      <c r="J35" s="9" t="s">
        <v>28</v>
      </c>
      <c r="K35" s="9">
        <v>1</v>
      </c>
      <c r="L35" s="9"/>
      <c r="M35" s="11"/>
      <c r="N35" s="12" t="s">
        <v>93</v>
      </c>
    </row>
    <row r="36" spans="1:14">
      <c r="A36" s="8"/>
      <c r="B36" s="9"/>
      <c r="C36" s="8" t="s">
        <v>266</v>
      </c>
      <c r="D36" s="10" t="s">
        <v>267</v>
      </c>
      <c r="E36" s="8"/>
      <c r="F36" s="10" t="s">
        <v>84</v>
      </c>
      <c r="G36" s="10" t="s">
        <v>85</v>
      </c>
      <c r="H36" s="8" t="s">
        <v>25</v>
      </c>
      <c r="I36" s="8">
        <v>34</v>
      </c>
      <c r="J36" s="9"/>
      <c r="K36" s="9">
        <v>1</v>
      </c>
      <c r="L36" s="9"/>
      <c r="M36" s="11"/>
      <c r="N36" s="12" t="s">
        <v>21</v>
      </c>
    </row>
    <row r="37" spans="1:14">
      <c r="A37" s="8"/>
      <c r="B37" s="9"/>
      <c r="C37" s="8" t="s">
        <v>58</v>
      </c>
      <c r="D37" s="10" t="s">
        <v>268</v>
      </c>
      <c r="E37" s="8"/>
      <c r="F37" s="10" t="s">
        <v>86</v>
      </c>
      <c r="G37" s="10" t="s">
        <v>87</v>
      </c>
      <c r="H37" s="8" t="s">
        <v>25</v>
      </c>
      <c r="I37" s="8">
        <v>35</v>
      </c>
      <c r="J37" s="9"/>
      <c r="K37" s="9">
        <v>1</v>
      </c>
      <c r="L37" s="9"/>
      <c r="M37" s="11"/>
      <c r="N37" s="12" t="s">
        <v>21</v>
      </c>
    </row>
    <row r="38" spans="1:14">
      <c r="A38" s="8"/>
      <c r="B38" s="9"/>
      <c r="C38" s="8" t="s">
        <v>97</v>
      </c>
      <c r="D38" s="10" t="s">
        <v>269</v>
      </c>
      <c r="E38" s="8"/>
      <c r="F38" s="10" t="s">
        <v>134</v>
      </c>
      <c r="G38" s="10" t="s">
        <v>151</v>
      </c>
      <c r="H38" s="8" t="s">
        <v>25</v>
      </c>
      <c r="I38" s="8">
        <v>36</v>
      </c>
      <c r="J38" s="9"/>
      <c r="K38" s="9">
        <v>1</v>
      </c>
      <c r="L38" s="9"/>
      <c r="M38" s="11"/>
      <c r="N38" s="12" t="s">
        <v>21</v>
      </c>
    </row>
    <row r="39" spans="1:14">
      <c r="A39" s="8"/>
      <c r="B39" s="9"/>
      <c r="C39" s="8" t="s">
        <v>98</v>
      </c>
      <c r="D39" s="10" t="s">
        <v>270</v>
      </c>
      <c r="E39" s="8"/>
      <c r="F39" s="10" t="s">
        <v>135</v>
      </c>
      <c r="G39" s="10" t="s">
        <v>152</v>
      </c>
      <c r="H39" s="8" t="s">
        <v>25</v>
      </c>
      <c r="I39" s="8">
        <v>37</v>
      </c>
      <c r="J39" s="9" t="s">
        <v>156</v>
      </c>
      <c r="K39" s="9">
        <v>1</v>
      </c>
      <c r="L39" s="9"/>
      <c r="M39" s="11"/>
      <c r="N39" s="12" t="s">
        <v>21</v>
      </c>
    </row>
    <row r="40" spans="1:14">
      <c r="A40" s="8"/>
      <c r="B40" s="9"/>
      <c r="C40" s="8" t="s">
        <v>99</v>
      </c>
      <c r="D40" s="10" t="s">
        <v>270</v>
      </c>
      <c r="E40" s="8"/>
      <c r="F40" s="10" t="s">
        <v>136</v>
      </c>
      <c r="G40" s="10" t="s">
        <v>153</v>
      </c>
      <c r="H40" s="8" t="s">
        <v>25</v>
      </c>
      <c r="I40" s="8">
        <v>38</v>
      </c>
      <c r="J40" s="9" t="s">
        <v>156</v>
      </c>
      <c r="K40" s="9">
        <v>1</v>
      </c>
      <c r="L40" s="9"/>
      <c r="M40" s="11"/>
      <c r="N40" s="12" t="s">
        <v>21</v>
      </c>
    </row>
    <row r="41" spans="1:14">
      <c r="A41" s="8"/>
      <c r="B41" s="9"/>
      <c r="C41" s="8" t="s">
        <v>100</v>
      </c>
      <c r="D41" s="10" t="s">
        <v>271</v>
      </c>
      <c r="E41" s="8"/>
      <c r="F41" s="10" t="s">
        <v>137</v>
      </c>
      <c r="G41" s="10" t="s">
        <v>154</v>
      </c>
      <c r="H41" s="8" t="s">
        <v>25</v>
      </c>
      <c r="I41" s="8">
        <v>39</v>
      </c>
      <c r="J41" s="9" t="s">
        <v>157</v>
      </c>
      <c r="K41" s="9">
        <v>1</v>
      </c>
      <c r="L41" s="9"/>
      <c r="M41" s="11"/>
      <c r="N41" s="12" t="s">
        <v>21</v>
      </c>
    </row>
    <row r="42" spans="1:14">
      <c r="A42" s="8"/>
      <c r="B42" s="9"/>
      <c r="C42" s="8" t="s">
        <v>59</v>
      </c>
      <c r="D42" s="10" t="s">
        <v>272</v>
      </c>
      <c r="E42" s="8"/>
      <c r="F42" s="10" t="s">
        <v>88</v>
      </c>
      <c r="G42" s="10" t="s">
        <v>89</v>
      </c>
      <c r="H42" s="8" t="s">
        <v>25</v>
      </c>
      <c r="I42" s="8">
        <v>40</v>
      </c>
      <c r="J42" s="9"/>
      <c r="K42" s="9">
        <v>1</v>
      </c>
      <c r="L42" s="9"/>
      <c r="M42" s="11"/>
      <c r="N42" s="12" t="s">
        <v>21</v>
      </c>
    </row>
    <row r="43" spans="1:14">
      <c r="A43" s="8"/>
      <c r="B43" s="9"/>
      <c r="C43" s="8" t="s">
        <v>60</v>
      </c>
      <c r="D43" s="10" t="s">
        <v>273</v>
      </c>
      <c r="E43" s="8"/>
      <c r="F43" s="10" t="s">
        <v>90</v>
      </c>
      <c r="G43" s="10" t="s">
        <v>91</v>
      </c>
      <c r="H43" s="8" t="s">
        <v>25</v>
      </c>
      <c r="I43" s="8">
        <v>41</v>
      </c>
      <c r="J43" s="9"/>
      <c r="K43" s="9">
        <v>1</v>
      </c>
      <c r="L43" s="9"/>
      <c r="M43" s="11"/>
      <c r="N43" s="12" t="s">
        <v>21</v>
      </c>
    </row>
    <row r="44" spans="1:14">
      <c r="A44" s="8"/>
      <c r="B44" s="9"/>
      <c r="C44" s="8"/>
      <c r="D44" s="10"/>
      <c r="E44" s="8"/>
      <c r="F44" s="10"/>
      <c r="G44" s="10"/>
      <c r="H44" s="8"/>
      <c r="I44" s="8"/>
      <c r="J44" s="9"/>
      <c r="K44" s="9"/>
      <c r="L44" s="9"/>
      <c r="M44" s="11"/>
      <c r="N44" s="12"/>
    </row>
  </sheetData>
  <phoneticPr fontId="3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FBFD2-9842-4059-85B6-0F435DE2D87F}">
  <dimension ref="A1:G88"/>
  <sheetViews>
    <sheetView topLeftCell="D29" zoomScale="115" zoomScaleNormal="115" workbookViewId="0">
      <selection activeCell="E30" sqref="E30"/>
    </sheetView>
  </sheetViews>
  <sheetFormatPr defaultColWidth="8.83203125" defaultRowHeight="18"/>
  <cols>
    <col min="1" max="1" width="20.58203125" customWidth="1"/>
    <col min="2" max="2" width="5.08203125" customWidth="1"/>
    <col min="3" max="3" width="18.58203125" bestFit="1" customWidth="1"/>
    <col min="4" max="4" width="44.08203125" bestFit="1" customWidth="1"/>
    <col min="5" max="5" width="68.75" customWidth="1"/>
    <col min="6" max="6" width="52.5" customWidth="1"/>
    <col min="7" max="7" width="26.33203125" customWidth="1"/>
    <col min="8" max="8" width="22.33203125" customWidth="1"/>
  </cols>
  <sheetData>
    <row r="1" spans="1:7" ht="18.75" customHeight="1">
      <c r="A1" s="79" t="s">
        <v>235</v>
      </c>
      <c r="B1" s="80" t="s">
        <v>236</v>
      </c>
      <c r="C1" s="142" t="s">
        <v>237</v>
      </c>
      <c r="D1" s="142"/>
      <c r="E1" s="143"/>
      <c r="F1" s="80" t="s">
        <v>26</v>
      </c>
    </row>
    <row r="2" spans="1:7" ht="66">
      <c r="A2" s="144" t="s">
        <v>238</v>
      </c>
      <c r="B2" s="81"/>
      <c r="C2" s="147" t="s">
        <v>334</v>
      </c>
      <c r="D2" s="148"/>
      <c r="E2" s="149"/>
      <c r="F2" s="82" t="s">
        <v>335</v>
      </c>
    </row>
    <row r="3" spans="1:7" ht="82.5">
      <c r="A3" s="145"/>
      <c r="B3" s="81"/>
      <c r="C3" s="147" t="s">
        <v>302</v>
      </c>
      <c r="D3" s="148"/>
      <c r="E3" s="149"/>
      <c r="F3" s="82" t="s">
        <v>336</v>
      </c>
    </row>
    <row r="4" spans="1:7">
      <c r="A4" s="146"/>
      <c r="B4" s="81"/>
      <c r="C4" s="89" t="s">
        <v>249</v>
      </c>
      <c r="D4" s="90"/>
      <c r="E4" s="91"/>
      <c r="F4" s="82" t="s">
        <v>250</v>
      </c>
    </row>
    <row r="5" spans="1:7" ht="54" customHeight="1">
      <c r="A5" s="83" t="s">
        <v>239</v>
      </c>
      <c r="B5" s="84" t="s">
        <v>235</v>
      </c>
      <c r="C5" s="85" t="s">
        <v>240</v>
      </c>
      <c r="D5" s="85" t="s">
        <v>241</v>
      </c>
      <c r="E5" s="85" t="s">
        <v>242</v>
      </c>
      <c r="F5" s="101" t="s">
        <v>260</v>
      </c>
    </row>
    <row r="6" spans="1:7" ht="90">
      <c r="A6" s="92" t="s">
        <v>243</v>
      </c>
      <c r="B6" s="84" t="s">
        <v>235</v>
      </c>
      <c r="C6" s="86" t="s">
        <v>252</v>
      </c>
      <c r="D6" s="87" t="s">
        <v>256</v>
      </c>
      <c r="E6" s="87" t="s">
        <v>244</v>
      </c>
      <c r="F6" s="88" t="s">
        <v>253</v>
      </c>
    </row>
    <row r="7" spans="1:7" ht="36">
      <c r="A7" s="93"/>
      <c r="B7" s="84"/>
      <c r="C7" s="86" t="s">
        <v>245</v>
      </c>
      <c r="D7" s="87" t="s">
        <v>246</v>
      </c>
      <c r="E7" s="87"/>
      <c r="F7" s="88" t="s">
        <v>251</v>
      </c>
    </row>
    <row r="8" spans="1:7" ht="36">
      <c r="A8" s="93"/>
      <c r="B8" s="84"/>
      <c r="C8" s="139" t="s">
        <v>247</v>
      </c>
      <c r="D8" s="87" t="s">
        <v>257</v>
      </c>
      <c r="E8" s="87" t="s">
        <v>421</v>
      </c>
      <c r="F8" s="88"/>
    </row>
    <row r="9" spans="1:7" ht="36">
      <c r="A9" s="93"/>
      <c r="B9" s="84"/>
      <c r="C9" s="140"/>
      <c r="D9" s="87" t="s">
        <v>255</v>
      </c>
      <c r="E9" s="88" t="s">
        <v>333</v>
      </c>
      <c r="F9" s="88" t="s">
        <v>422</v>
      </c>
    </row>
    <row r="10" spans="1:7" ht="54">
      <c r="A10" s="93"/>
      <c r="B10" s="84"/>
      <c r="C10" s="140"/>
      <c r="D10" s="87" t="s">
        <v>375</v>
      </c>
      <c r="E10" s="150" t="s">
        <v>420</v>
      </c>
      <c r="F10" s="88" t="s">
        <v>259</v>
      </c>
    </row>
    <row r="11" spans="1:7" ht="90">
      <c r="A11" s="93"/>
      <c r="B11" s="84"/>
      <c r="C11" s="140"/>
      <c r="D11" s="87" t="s">
        <v>376</v>
      </c>
      <c r="E11" s="151"/>
      <c r="F11" s="88" t="s">
        <v>258</v>
      </c>
    </row>
    <row r="12" spans="1:7" ht="54">
      <c r="A12" s="93"/>
      <c r="B12" s="84"/>
      <c r="C12" s="140"/>
      <c r="D12" s="87" t="s">
        <v>377</v>
      </c>
      <c r="E12" s="87" t="s">
        <v>419</v>
      </c>
      <c r="F12" s="88" t="s">
        <v>303</v>
      </c>
    </row>
    <row r="13" spans="1:7" ht="36">
      <c r="A13" s="93"/>
      <c r="B13" s="84"/>
      <c r="C13" s="140"/>
      <c r="D13" s="87" t="s">
        <v>254</v>
      </c>
      <c r="E13" s="87" t="s">
        <v>325</v>
      </c>
      <c r="F13" s="88" t="s">
        <v>326</v>
      </c>
    </row>
    <row r="14" spans="1:7">
      <c r="A14" s="93"/>
      <c r="B14" s="84"/>
      <c r="C14" s="141"/>
      <c r="D14" s="87" t="s">
        <v>323</v>
      </c>
      <c r="E14" s="87"/>
      <c r="F14" s="88" t="s">
        <v>324</v>
      </c>
    </row>
    <row r="15" spans="1:7" ht="101.25" customHeight="1">
      <c r="A15" s="93"/>
      <c r="B15" s="84"/>
      <c r="C15" s="139" t="s">
        <v>248</v>
      </c>
      <c r="D15" s="87" t="s">
        <v>321</v>
      </c>
      <c r="E15" s="87"/>
      <c r="F15" s="88" t="s">
        <v>328</v>
      </c>
      <c r="G15" t="e" vm="1">
        <v>#VALUE!</v>
      </c>
    </row>
    <row r="16" spans="1:7" ht="101.25" customHeight="1">
      <c r="A16" s="93"/>
      <c r="B16" s="84"/>
      <c r="C16" s="141"/>
      <c r="D16" s="87" t="s">
        <v>322</v>
      </c>
      <c r="E16" s="87"/>
      <c r="F16" s="88" t="s">
        <v>327</v>
      </c>
      <c r="G16" t="e" vm="2">
        <v>#VALUE!</v>
      </c>
    </row>
    <row r="17" spans="1:7" ht="101.25" customHeight="1">
      <c r="A17" s="93"/>
      <c r="B17" s="84"/>
      <c r="C17" s="139" t="s">
        <v>305</v>
      </c>
      <c r="D17" s="87" t="s">
        <v>304</v>
      </c>
      <c r="E17" s="87"/>
      <c r="F17" s="88" t="s">
        <v>378</v>
      </c>
      <c r="G17" t="e" vm="3">
        <v>#VALUE!</v>
      </c>
    </row>
    <row r="18" spans="1:7" ht="101.25" customHeight="1">
      <c r="A18" s="93"/>
      <c r="B18" s="84"/>
      <c r="C18" s="140"/>
      <c r="D18" s="87" t="s">
        <v>306</v>
      </c>
      <c r="E18" s="87"/>
      <c r="F18" s="88" t="s">
        <v>379</v>
      </c>
      <c r="G18" t="e" vm="4">
        <v>#VALUE!</v>
      </c>
    </row>
    <row r="19" spans="1:7" ht="101.25" customHeight="1">
      <c r="A19" s="93"/>
      <c r="B19" s="84"/>
      <c r="C19" s="140"/>
      <c r="D19" s="87" t="s">
        <v>307</v>
      </c>
      <c r="E19" s="87"/>
      <c r="F19" s="88" t="s">
        <v>380</v>
      </c>
      <c r="G19" t="e" vm="5">
        <v>#VALUE!</v>
      </c>
    </row>
    <row r="20" spans="1:7" ht="101.25" customHeight="1">
      <c r="A20" s="93"/>
      <c r="B20" s="84"/>
      <c r="C20" s="140"/>
      <c r="D20" s="87" t="s">
        <v>308</v>
      </c>
      <c r="E20" s="87"/>
      <c r="F20" s="88" t="s">
        <v>381</v>
      </c>
      <c r="G20" t="e" vm="6">
        <v>#VALUE!</v>
      </c>
    </row>
    <row r="21" spans="1:7" ht="101.25" customHeight="1">
      <c r="A21" s="93"/>
      <c r="B21" s="84"/>
      <c r="C21" s="140"/>
      <c r="D21" s="87" t="s">
        <v>309</v>
      </c>
      <c r="E21" s="87"/>
      <c r="F21" s="88" t="s">
        <v>437</v>
      </c>
      <c r="G21" t="e" vm="7">
        <v>#VALUE!</v>
      </c>
    </row>
    <row r="22" spans="1:7" ht="101.25" customHeight="1">
      <c r="A22" s="93"/>
      <c r="B22" s="84"/>
      <c r="C22" s="140"/>
      <c r="D22" s="87" t="s">
        <v>310</v>
      </c>
      <c r="E22" s="87"/>
      <c r="F22" s="88" t="s">
        <v>436</v>
      </c>
      <c r="G22" t="e" vm="8">
        <v>#VALUE!</v>
      </c>
    </row>
    <row r="23" spans="1:7" ht="101.25" customHeight="1">
      <c r="A23" s="93"/>
      <c r="B23" s="84"/>
      <c r="C23" s="140"/>
      <c r="D23" s="87" t="s">
        <v>311</v>
      </c>
      <c r="E23" s="87"/>
      <c r="F23" s="88" t="s">
        <v>435</v>
      </c>
    </row>
    <row r="24" spans="1:7" ht="101.25" customHeight="1">
      <c r="A24" s="93"/>
      <c r="B24" s="84"/>
      <c r="C24" s="140"/>
      <c r="D24" s="87" t="s">
        <v>312</v>
      </c>
      <c r="E24" s="87"/>
      <c r="F24" s="88" t="s">
        <v>434</v>
      </c>
    </row>
    <row r="25" spans="1:7" ht="101.25" customHeight="1">
      <c r="A25" s="93"/>
      <c r="B25" s="84"/>
      <c r="C25" s="140"/>
      <c r="D25" s="87" t="s">
        <v>430</v>
      </c>
      <c r="E25" s="87"/>
      <c r="F25" s="88" t="s">
        <v>432</v>
      </c>
    </row>
    <row r="26" spans="1:7" ht="101.25" customHeight="1">
      <c r="A26" s="93"/>
      <c r="B26" s="84"/>
      <c r="C26" s="140"/>
      <c r="D26" s="87" t="s">
        <v>431</v>
      </c>
      <c r="E26" s="87"/>
      <c r="F26" s="88" t="s">
        <v>433</v>
      </c>
    </row>
    <row r="27" spans="1:7" ht="101.25" customHeight="1">
      <c r="A27" s="93"/>
      <c r="B27" s="84"/>
      <c r="C27" s="140"/>
      <c r="D27" s="87" t="s">
        <v>313</v>
      </c>
      <c r="E27" s="87"/>
      <c r="F27" s="88" t="s">
        <v>382</v>
      </c>
      <c r="G27" t="e" vm="2">
        <v>#VALUE!</v>
      </c>
    </row>
    <row r="28" spans="1:7" ht="101.25" customHeight="1">
      <c r="A28" s="93"/>
      <c r="B28" s="84"/>
      <c r="C28" s="140"/>
      <c r="D28" s="87" t="s">
        <v>314</v>
      </c>
      <c r="E28" s="87"/>
      <c r="F28" s="88" t="s">
        <v>383</v>
      </c>
      <c r="G28" t="e" vm="9">
        <v>#VALUE!</v>
      </c>
    </row>
    <row r="29" spans="1:7" ht="101.25" customHeight="1">
      <c r="A29" s="93"/>
      <c r="B29" s="84"/>
      <c r="C29" s="140"/>
      <c r="D29" s="87" t="s">
        <v>315</v>
      </c>
      <c r="E29" s="87"/>
      <c r="F29" s="88" t="s">
        <v>384</v>
      </c>
      <c r="G29" t="e" vm="10">
        <v>#VALUE!</v>
      </c>
    </row>
    <row r="30" spans="1:7" ht="101.25" customHeight="1">
      <c r="A30" s="93"/>
      <c r="B30" s="84"/>
      <c r="C30" s="140"/>
      <c r="D30" s="87" t="s">
        <v>316</v>
      </c>
      <c r="E30" s="87"/>
      <c r="F30" s="88" t="s">
        <v>385</v>
      </c>
      <c r="G30" t="e" vm="11">
        <v>#VALUE!</v>
      </c>
    </row>
    <row r="31" spans="1:7" ht="101.25" customHeight="1">
      <c r="A31" s="93"/>
      <c r="B31" s="84"/>
      <c r="C31" s="140"/>
      <c r="D31" s="87" t="s">
        <v>317</v>
      </c>
      <c r="E31" s="87"/>
      <c r="F31" s="88" t="s">
        <v>386</v>
      </c>
      <c r="G31" t="e" vm="12">
        <v>#VALUE!</v>
      </c>
    </row>
    <row r="32" spans="1:7" ht="101.25" customHeight="1">
      <c r="A32" s="93"/>
      <c r="B32" s="84"/>
      <c r="C32" s="140"/>
      <c r="D32" s="87" t="s">
        <v>318</v>
      </c>
      <c r="E32" s="87"/>
      <c r="F32" s="88" t="s">
        <v>387</v>
      </c>
      <c r="G32" t="e" vm="13">
        <v>#VALUE!</v>
      </c>
    </row>
    <row r="33" spans="1:7" ht="101.25" customHeight="1">
      <c r="A33" s="93"/>
      <c r="B33" s="84"/>
      <c r="C33" s="140"/>
      <c r="D33" s="87" t="s">
        <v>319</v>
      </c>
      <c r="E33" s="87"/>
      <c r="F33" s="88" t="s">
        <v>388</v>
      </c>
      <c r="G33" t="e" vm="14">
        <v>#VALUE!</v>
      </c>
    </row>
    <row r="34" spans="1:7" ht="101.25" customHeight="1">
      <c r="A34" s="93"/>
      <c r="B34" s="84"/>
      <c r="C34" s="141"/>
      <c r="D34" s="87" t="s">
        <v>320</v>
      </c>
      <c r="E34" s="87"/>
      <c r="F34" s="88" t="s">
        <v>389</v>
      </c>
      <c r="G34" t="e" vm="15">
        <v>#VALUE!</v>
      </c>
    </row>
    <row r="36" spans="1:7" ht="22.5">
      <c r="A36" s="131" t="s">
        <v>415</v>
      </c>
      <c r="B36" s="123"/>
      <c r="C36" s="123"/>
      <c r="D36" s="123"/>
      <c r="E36" s="123"/>
      <c r="F36" s="123"/>
    </row>
    <row r="37" spans="1:7">
      <c r="A37" s="124" t="s">
        <v>403</v>
      </c>
      <c r="B37" s="123"/>
      <c r="C37" s="123"/>
      <c r="D37" s="123"/>
      <c r="E37" s="123"/>
      <c r="F37" s="123"/>
    </row>
    <row r="38" spans="1:7">
      <c r="A38" s="129" t="s">
        <v>416</v>
      </c>
      <c r="B38" s="123"/>
      <c r="C38" s="123"/>
      <c r="D38" s="123"/>
      <c r="E38" s="123"/>
      <c r="F38" s="123"/>
    </row>
    <row r="39" spans="1:7">
      <c r="A39" s="128"/>
      <c r="B39" s="123"/>
      <c r="C39" s="123"/>
      <c r="D39" s="123"/>
      <c r="E39" s="123"/>
      <c r="F39" s="123"/>
    </row>
    <row r="40" spans="1:7">
      <c r="A40" s="124" t="s">
        <v>404</v>
      </c>
      <c r="B40" s="123"/>
      <c r="C40" s="123"/>
      <c r="D40" s="123"/>
      <c r="E40" s="123"/>
      <c r="F40" s="123"/>
    </row>
    <row r="41" spans="1:7">
      <c r="A41" s="130" t="s">
        <v>405</v>
      </c>
      <c r="B41" s="123"/>
      <c r="C41" s="123"/>
      <c r="D41" s="123"/>
      <c r="E41" s="123"/>
      <c r="F41" s="123"/>
    </row>
    <row r="42" spans="1:7">
      <c r="A42" s="128"/>
      <c r="B42" s="123"/>
      <c r="C42" s="123"/>
      <c r="D42" s="123"/>
      <c r="E42" s="123"/>
      <c r="F42" s="123"/>
    </row>
    <row r="43" spans="1:7">
      <c r="A43" s="124" t="s">
        <v>406</v>
      </c>
      <c r="B43" s="123"/>
      <c r="C43" s="123"/>
      <c r="D43" s="123"/>
      <c r="E43" s="123"/>
      <c r="F43" s="123"/>
    </row>
    <row r="44" spans="1:7">
      <c r="A44" s="129" t="s">
        <v>407</v>
      </c>
      <c r="B44" s="123"/>
      <c r="C44" s="123"/>
      <c r="D44" s="123"/>
      <c r="E44" s="123"/>
      <c r="F44" s="123"/>
    </row>
    <row r="45" spans="1:7">
      <c r="A45" s="128"/>
      <c r="B45" s="123"/>
      <c r="C45" s="123"/>
      <c r="D45" s="123"/>
      <c r="E45" s="123"/>
      <c r="F45" s="123"/>
    </row>
    <row r="46" spans="1:7">
      <c r="A46" s="124" t="s">
        <v>408</v>
      </c>
      <c r="B46" s="123"/>
      <c r="C46" s="123"/>
      <c r="D46" s="123"/>
      <c r="E46" s="123"/>
      <c r="F46" s="123"/>
    </row>
    <row r="47" spans="1:7">
      <c r="A47" s="125" t="s">
        <v>409</v>
      </c>
      <c r="B47" s="123"/>
      <c r="C47" s="123"/>
      <c r="D47" s="123"/>
      <c r="E47" s="123"/>
      <c r="F47" s="123"/>
    </row>
    <row r="48" spans="1:7">
      <c r="A48" s="125" t="s">
        <v>410</v>
      </c>
      <c r="B48" s="123"/>
      <c r="C48" s="123"/>
      <c r="D48" s="123"/>
      <c r="E48" s="123"/>
      <c r="F48" s="123"/>
    </row>
    <row r="49" spans="1:6">
      <c r="A49" s="125" t="s">
        <v>411</v>
      </c>
      <c r="B49" s="123"/>
      <c r="C49" s="123"/>
      <c r="D49" s="123"/>
      <c r="E49" s="123"/>
      <c r="F49" s="123"/>
    </row>
    <row r="50" spans="1:6">
      <c r="A50" s="128"/>
      <c r="B50" s="123"/>
      <c r="C50" s="123"/>
      <c r="D50" s="123"/>
      <c r="E50" s="123"/>
      <c r="F50" s="123"/>
    </row>
    <row r="51" spans="1:6">
      <c r="A51" s="124" t="s">
        <v>412</v>
      </c>
      <c r="B51" s="123"/>
      <c r="C51" s="123"/>
      <c r="D51" s="123"/>
      <c r="E51" s="123"/>
      <c r="F51" s="123"/>
    </row>
    <row r="52" spans="1:6">
      <c r="A52" s="130" t="s">
        <v>417</v>
      </c>
      <c r="B52" s="123"/>
      <c r="C52" s="123"/>
      <c r="D52" s="123"/>
      <c r="E52" s="123"/>
      <c r="F52" s="123"/>
    </row>
    <row r="53" spans="1:6">
      <c r="A53" s="128"/>
      <c r="B53" s="123"/>
      <c r="C53" s="123"/>
      <c r="D53" s="123"/>
      <c r="E53" s="123"/>
      <c r="F53" s="123"/>
    </row>
    <row r="54" spans="1:6">
      <c r="A54" s="124" t="s">
        <v>413</v>
      </c>
      <c r="B54" s="123"/>
      <c r="C54" s="123"/>
      <c r="D54" s="123"/>
      <c r="E54" s="123"/>
      <c r="F54" s="123"/>
    </row>
    <row r="55" spans="1:6">
      <c r="A55" s="129" t="s">
        <v>414</v>
      </c>
      <c r="B55" s="123"/>
      <c r="C55" s="123"/>
      <c r="D55" s="123"/>
      <c r="E55" s="123"/>
      <c r="F55" s="123"/>
    </row>
    <row r="56" spans="1:6">
      <c r="A56" s="129" t="s">
        <v>418</v>
      </c>
      <c r="B56" s="123"/>
      <c r="C56" s="123"/>
      <c r="D56" s="123"/>
      <c r="E56" s="123"/>
      <c r="F56" s="123"/>
    </row>
    <row r="58" spans="1:6" ht="22.5">
      <c r="A58" s="131" t="s">
        <v>428</v>
      </c>
      <c r="B58" s="123"/>
      <c r="C58" s="123"/>
      <c r="D58" s="123"/>
      <c r="E58" s="123"/>
      <c r="F58" s="123"/>
    </row>
    <row r="59" spans="1:6">
      <c r="A59" s="124" t="s">
        <v>390</v>
      </c>
      <c r="B59" s="123"/>
      <c r="C59" s="123"/>
      <c r="D59" s="123"/>
      <c r="E59" s="123"/>
      <c r="F59" s="123"/>
    </row>
    <row r="60" spans="1:6">
      <c r="A60" s="129" t="s">
        <v>401</v>
      </c>
      <c r="B60" s="123"/>
      <c r="C60" s="123"/>
      <c r="D60" s="123"/>
      <c r="E60" s="123"/>
      <c r="F60" s="123"/>
    </row>
    <row r="61" spans="1:6">
      <c r="A61" s="128"/>
      <c r="B61" s="123"/>
      <c r="C61" s="123"/>
      <c r="D61" s="123"/>
      <c r="E61" s="123"/>
      <c r="F61" s="123"/>
    </row>
    <row r="62" spans="1:6">
      <c r="A62" s="124" t="s">
        <v>391</v>
      </c>
      <c r="B62" s="123"/>
      <c r="C62" s="123"/>
      <c r="D62" s="123"/>
      <c r="E62" s="123"/>
      <c r="F62" s="123"/>
    </row>
    <row r="63" spans="1:6">
      <c r="A63" s="125" t="s">
        <v>392</v>
      </c>
      <c r="B63" s="123"/>
      <c r="C63" s="123"/>
      <c r="D63" s="123"/>
      <c r="E63" s="123"/>
      <c r="F63" s="123"/>
    </row>
    <row r="64" spans="1:6">
      <c r="A64" s="129" t="s">
        <v>393</v>
      </c>
      <c r="B64" s="123"/>
      <c r="C64" s="123"/>
      <c r="D64" s="123"/>
      <c r="E64" s="123"/>
      <c r="F64" s="123"/>
    </row>
    <row r="65" spans="1:6">
      <c r="A65" s="127" t="s">
        <v>394</v>
      </c>
      <c r="B65" s="123"/>
      <c r="C65" s="123"/>
      <c r="D65" s="123"/>
      <c r="E65" s="123"/>
      <c r="F65" s="123"/>
    </row>
    <row r="66" spans="1:6">
      <c r="A66" s="127" t="s">
        <v>395</v>
      </c>
      <c r="B66" s="123"/>
      <c r="C66" s="123"/>
      <c r="D66" s="123"/>
      <c r="E66" s="123"/>
      <c r="F66" s="123"/>
    </row>
    <row r="67" spans="1:6">
      <c r="A67" s="127" t="s">
        <v>396</v>
      </c>
      <c r="B67" s="123"/>
      <c r="C67" s="123"/>
      <c r="D67" s="123"/>
      <c r="E67" s="123"/>
      <c r="F67" s="123"/>
    </row>
    <row r="68" spans="1:6">
      <c r="A68" s="125" t="s">
        <v>429</v>
      </c>
      <c r="B68" s="123"/>
      <c r="C68" s="123"/>
      <c r="D68" s="123"/>
      <c r="E68" s="123"/>
      <c r="F68" s="123"/>
    </row>
    <row r="69" spans="1:6">
      <c r="A69" s="126" t="s">
        <v>397</v>
      </c>
      <c r="B69" s="123"/>
      <c r="C69" s="123"/>
      <c r="D69" s="123"/>
      <c r="E69" s="123"/>
      <c r="F69" s="123"/>
    </row>
    <row r="70" spans="1:6">
      <c r="A70" s="126" t="s">
        <v>398</v>
      </c>
      <c r="B70" s="123"/>
      <c r="C70" s="123"/>
      <c r="D70" s="123"/>
      <c r="E70" s="123"/>
      <c r="F70" s="123"/>
    </row>
    <row r="71" spans="1:6">
      <c r="A71" s="129" t="s">
        <v>399</v>
      </c>
      <c r="B71" s="123"/>
      <c r="C71" s="123"/>
      <c r="D71" s="123"/>
      <c r="E71" s="123"/>
      <c r="F71" s="123"/>
    </row>
    <row r="72" spans="1:6">
      <c r="A72" s="128"/>
      <c r="B72" s="123"/>
      <c r="C72" s="123"/>
      <c r="D72" s="123"/>
      <c r="E72" s="123"/>
      <c r="F72" s="123"/>
    </row>
    <row r="73" spans="1:6">
      <c r="A73" s="124" t="s">
        <v>400</v>
      </c>
      <c r="B73" s="123"/>
      <c r="C73" s="123"/>
      <c r="D73" s="123"/>
      <c r="E73" s="123"/>
      <c r="F73" s="123"/>
    </row>
    <row r="74" spans="1:6">
      <c r="A74" s="129" t="s">
        <v>402</v>
      </c>
      <c r="B74" s="123"/>
      <c r="C74" s="123"/>
      <c r="D74" s="123"/>
      <c r="E74" s="123"/>
      <c r="F74" s="123"/>
    </row>
    <row r="76" spans="1:6" ht="22.5">
      <c r="A76" s="131" t="s">
        <v>423</v>
      </c>
      <c r="B76" s="123"/>
      <c r="C76" s="123"/>
      <c r="D76" s="123"/>
      <c r="E76" s="123"/>
      <c r="F76" s="123"/>
    </row>
    <row r="77" spans="1:6">
      <c r="A77" s="124" t="s">
        <v>368</v>
      </c>
      <c r="B77" s="123"/>
      <c r="C77" s="123"/>
      <c r="D77" s="123"/>
      <c r="E77" s="123"/>
      <c r="F77" s="123"/>
    </row>
    <row r="78" spans="1:6">
      <c r="A78" s="125" t="s">
        <v>369</v>
      </c>
      <c r="B78" s="123"/>
      <c r="C78" s="123"/>
      <c r="D78" s="123"/>
      <c r="E78" s="123"/>
      <c r="F78" s="123"/>
    </row>
    <row r="79" spans="1:6">
      <c r="A79" s="126" t="s">
        <v>374</v>
      </c>
      <c r="B79" s="123"/>
      <c r="C79" s="123"/>
      <c r="D79" s="123"/>
      <c r="E79" s="123"/>
      <c r="F79" s="123"/>
    </row>
    <row r="80" spans="1:6">
      <c r="A80" s="127" t="s">
        <v>370</v>
      </c>
      <c r="B80" s="123"/>
      <c r="C80" s="123"/>
      <c r="D80" s="123"/>
      <c r="E80" s="123"/>
      <c r="F80" s="123"/>
    </row>
    <row r="81" spans="1:6">
      <c r="A81" s="125" t="s">
        <v>372</v>
      </c>
      <c r="B81" s="123"/>
      <c r="C81" s="123"/>
      <c r="D81" s="123"/>
      <c r="E81" s="123"/>
      <c r="F81" s="123"/>
    </row>
    <row r="82" spans="1:6">
      <c r="A82" s="126" t="s">
        <v>424</v>
      </c>
      <c r="B82" s="123"/>
      <c r="C82" s="123"/>
      <c r="D82" s="123"/>
      <c r="E82" s="123"/>
      <c r="F82" s="123"/>
    </row>
    <row r="83" spans="1:6">
      <c r="A83" s="126" t="s">
        <v>373</v>
      </c>
      <c r="B83" s="123"/>
      <c r="C83" s="123"/>
      <c r="D83" s="123"/>
      <c r="E83" s="123"/>
      <c r="F83" s="123"/>
    </row>
    <row r="84" spans="1:6">
      <c r="A84" s="128"/>
      <c r="B84" s="123"/>
      <c r="C84" s="123"/>
      <c r="D84" s="123"/>
      <c r="E84" s="123"/>
      <c r="F84" s="123"/>
    </row>
    <row r="85" spans="1:6">
      <c r="A85" s="124" t="s">
        <v>425</v>
      </c>
      <c r="B85" s="123"/>
      <c r="C85" s="123"/>
      <c r="D85" s="123"/>
      <c r="E85" s="123"/>
      <c r="F85" s="123"/>
    </row>
    <row r="86" spans="1:6">
      <c r="A86" s="129" t="s">
        <v>371</v>
      </c>
      <c r="B86" s="123"/>
      <c r="C86" s="123"/>
      <c r="D86" s="123"/>
      <c r="E86" s="123"/>
      <c r="F86" s="123"/>
    </row>
    <row r="87" spans="1:6">
      <c r="A87" s="129" t="s">
        <v>426</v>
      </c>
      <c r="B87" s="123"/>
      <c r="C87" s="123"/>
      <c r="D87" s="123"/>
      <c r="E87" s="123"/>
      <c r="F87" s="123"/>
    </row>
    <row r="88" spans="1:6">
      <c r="A88" s="129" t="s">
        <v>427</v>
      </c>
      <c r="B88" s="123"/>
      <c r="C88" s="123"/>
      <c r="D88" s="123"/>
      <c r="E88" s="123"/>
      <c r="F88" s="123"/>
    </row>
  </sheetData>
  <mergeCells count="8">
    <mergeCell ref="C17:C34"/>
    <mergeCell ref="C1:E1"/>
    <mergeCell ref="A2:A4"/>
    <mergeCell ref="C2:E2"/>
    <mergeCell ref="C3:E3"/>
    <mergeCell ref="C8:C14"/>
    <mergeCell ref="C15:C16"/>
    <mergeCell ref="E10:E11"/>
  </mergeCells>
  <phoneticPr fontId="3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D29F8-D2C3-4B45-AA82-8E6DD5FED4BB}">
  <dimension ref="A1:H6"/>
  <sheetViews>
    <sheetView topLeftCell="C1" zoomScale="75" zoomScaleNormal="75" workbookViewId="0">
      <selection activeCell="H13" sqref="H13"/>
    </sheetView>
  </sheetViews>
  <sheetFormatPr defaultColWidth="9" defaultRowHeight="18"/>
  <cols>
    <col min="1" max="1" width="13.33203125" style="1" customWidth="1"/>
    <col min="2" max="2" width="33.08203125" style="1" customWidth="1"/>
    <col min="3" max="3" width="38.25" style="1" customWidth="1"/>
    <col min="4" max="4" width="15.08203125" style="1" bestFit="1" customWidth="1"/>
    <col min="5" max="5" width="13.33203125" style="1" customWidth="1"/>
    <col min="6" max="6" width="5.83203125" style="1" bestFit="1" customWidth="1"/>
    <col min="7" max="7" width="33.08203125" style="1" customWidth="1"/>
    <col min="8" max="8" width="87" style="1" customWidth="1"/>
    <col min="9" max="9" width="44.33203125" style="1" customWidth="1"/>
    <col min="10" max="16384" width="9" style="1"/>
  </cols>
  <sheetData>
    <row r="1" spans="1:8">
      <c r="B1" s="1" t="s">
        <v>1</v>
      </c>
      <c r="C1" s="1" t="s">
        <v>3</v>
      </c>
      <c r="D1" s="2" t="s">
        <v>5</v>
      </c>
      <c r="E1" s="1" t="s">
        <v>6</v>
      </c>
      <c r="F1" s="1" t="s">
        <v>7</v>
      </c>
      <c r="G1" s="2" t="s">
        <v>8</v>
      </c>
    </row>
    <row r="2" spans="1:8" ht="90">
      <c r="A2" s="4" t="s">
        <v>214</v>
      </c>
      <c r="B2" s="3"/>
      <c r="C2" s="5" t="s">
        <v>14</v>
      </c>
      <c r="D2" s="3" t="s">
        <v>16</v>
      </c>
      <c r="E2" s="4" t="s">
        <v>17</v>
      </c>
      <c r="F2" s="4" t="s">
        <v>18</v>
      </c>
      <c r="G2" s="6" t="s">
        <v>19</v>
      </c>
      <c r="H2" s="7" t="s">
        <v>20</v>
      </c>
    </row>
    <row r="3" spans="1:8" s="64" customFormat="1">
      <c r="A3" s="60" t="s">
        <v>215</v>
      </c>
      <c r="B3" s="61" t="s">
        <v>216</v>
      </c>
      <c r="C3" s="61" t="s">
        <v>217</v>
      </c>
      <c r="D3" s="61" t="s">
        <v>172</v>
      </c>
      <c r="E3" s="60"/>
      <c r="F3" s="61"/>
      <c r="G3" s="62" t="s">
        <v>231</v>
      </c>
      <c r="H3" s="63" t="s">
        <v>218</v>
      </c>
    </row>
    <row r="4" spans="1:8" s="64" customFormat="1">
      <c r="A4" s="61" t="s">
        <v>219</v>
      </c>
      <c r="B4" s="61" t="s">
        <v>232</v>
      </c>
      <c r="C4" s="61" t="s">
        <v>233</v>
      </c>
      <c r="D4" s="61" t="s">
        <v>172</v>
      </c>
      <c r="E4" s="60"/>
      <c r="F4" s="61"/>
      <c r="G4" s="62" t="s">
        <v>230</v>
      </c>
      <c r="H4" s="63" t="s">
        <v>218</v>
      </c>
    </row>
    <row r="5" spans="1:8" s="64" customFormat="1">
      <c r="A5" s="61" t="s">
        <v>219</v>
      </c>
      <c r="B5" s="61" t="s">
        <v>220</v>
      </c>
      <c r="C5" s="61" t="s">
        <v>221</v>
      </c>
      <c r="D5" s="61" t="s">
        <v>172</v>
      </c>
      <c r="E5" s="60"/>
      <c r="F5" s="61"/>
      <c r="G5" s="62" t="s">
        <v>231</v>
      </c>
      <c r="H5" s="63" t="s">
        <v>218</v>
      </c>
    </row>
    <row r="6" spans="1:8">
      <c r="A6" s="61" t="s">
        <v>219</v>
      </c>
      <c r="B6" s="61" t="s">
        <v>438</v>
      </c>
      <c r="C6" s="61" t="s">
        <v>439</v>
      </c>
      <c r="D6" s="61" t="s">
        <v>172</v>
      </c>
      <c r="E6" s="60"/>
      <c r="F6" s="61"/>
      <c r="G6" s="62" t="s">
        <v>440</v>
      </c>
      <c r="H6" s="63"/>
    </row>
  </sheetData>
  <phoneticPr fontId="3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A1150-01EC-484D-906C-05A96B6821FA}">
  <dimension ref="B2:G59"/>
  <sheetViews>
    <sheetView tabSelected="1" topLeftCell="C1" zoomScaleNormal="100" workbookViewId="0">
      <selection activeCell="E8" sqref="E8"/>
    </sheetView>
  </sheetViews>
  <sheetFormatPr defaultColWidth="9" defaultRowHeight="16.5"/>
  <cols>
    <col min="1" max="1" width="9" style="77"/>
    <col min="2" max="3" width="14" style="77" bestFit="1" customWidth="1"/>
    <col min="4" max="4" width="40.58203125" style="77" bestFit="1" customWidth="1"/>
    <col min="5" max="5" width="97.58203125" style="77" bestFit="1" customWidth="1"/>
    <col min="6" max="6" width="5.08203125" style="78" bestFit="1" customWidth="1"/>
    <col min="7" max="7" width="64.33203125" style="78" bestFit="1" customWidth="1"/>
    <col min="8" max="16384" width="9" style="77"/>
  </cols>
  <sheetData>
    <row r="2" spans="2:7" s="65" customFormat="1" ht="18.75" customHeight="1">
      <c r="B2" s="65" t="s">
        <v>222</v>
      </c>
      <c r="C2" s="65" t="s">
        <v>223</v>
      </c>
      <c r="F2" s="66"/>
      <c r="G2" s="66"/>
    </row>
    <row r="3" spans="2:7" s="67" customFormat="1" ht="18.75" customHeight="1">
      <c r="F3" s="68"/>
      <c r="G3" s="68"/>
    </row>
    <row r="4" spans="2:7" s="67" customFormat="1" ht="18.75" customHeight="1">
      <c r="B4" s="69" t="s">
        <v>224</v>
      </c>
      <c r="C4" s="69" t="s">
        <v>225</v>
      </c>
      <c r="D4" s="69" t="s">
        <v>226</v>
      </c>
      <c r="E4" s="70" t="s">
        <v>227</v>
      </c>
      <c r="F4" s="70" t="s">
        <v>228</v>
      </c>
    </row>
    <row r="5" spans="2:7" s="67" customFormat="1" ht="18.75" customHeight="1">
      <c r="B5" s="75">
        <v>46097</v>
      </c>
      <c r="C5" s="72" t="s">
        <v>234</v>
      </c>
      <c r="D5" s="72"/>
      <c r="E5" s="73" t="s">
        <v>229</v>
      </c>
      <c r="F5" s="74"/>
    </row>
    <row r="6" spans="2:7" s="67" customFormat="1" ht="18.75" customHeight="1">
      <c r="B6" s="75">
        <v>46159</v>
      </c>
      <c r="C6" s="72" t="s">
        <v>441</v>
      </c>
      <c r="D6" s="72"/>
      <c r="E6" s="73" t="s">
        <v>442</v>
      </c>
      <c r="F6" s="72"/>
    </row>
    <row r="7" spans="2:7" s="67" customFormat="1" ht="18.75" customHeight="1">
      <c r="B7" s="75"/>
      <c r="C7" s="72"/>
      <c r="D7" s="72"/>
      <c r="E7" s="73"/>
      <c r="F7" s="74"/>
    </row>
    <row r="8" spans="2:7" s="67" customFormat="1" ht="18.75" customHeight="1">
      <c r="B8" s="75"/>
      <c r="C8" s="72"/>
      <c r="D8" s="72"/>
      <c r="E8" s="73"/>
      <c r="F8" s="74"/>
    </row>
    <row r="9" spans="2:7" s="67" customFormat="1" ht="18.75" customHeight="1">
      <c r="B9" s="75"/>
      <c r="C9" s="72"/>
      <c r="D9" s="72"/>
      <c r="E9" s="76"/>
      <c r="F9" s="74"/>
    </row>
    <row r="10" spans="2:7" s="67" customFormat="1" ht="18.75" customHeight="1">
      <c r="B10" s="71"/>
      <c r="C10" s="72"/>
      <c r="D10" s="72"/>
      <c r="E10" s="73"/>
      <c r="F10" s="76"/>
    </row>
    <row r="11" spans="2:7" s="67" customFormat="1" ht="18.75" customHeight="1">
      <c r="B11" s="71"/>
      <c r="C11" s="72"/>
      <c r="D11" s="72"/>
      <c r="E11" s="73"/>
      <c r="F11" s="74"/>
    </row>
    <row r="12" spans="2:7" s="67" customFormat="1" ht="18.75" customHeight="1">
      <c r="B12" s="71"/>
      <c r="C12" s="72"/>
      <c r="D12" s="72"/>
      <c r="E12" s="73"/>
      <c r="F12" s="76"/>
    </row>
    <row r="13" spans="2:7" s="67" customFormat="1" ht="18.75" customHeight="1">
      <c r="B13" s="71"/>
      <c r="C13" s="72"/>
      <c r="D13" s="72"/>
      <c r="E13" s="73"/>
      <c r="F13" s="76"/>
    </row>
    <row r="14" spans="2:7" s="67" customFormat="1" ht="18.75" customHeight="1">
      <c r="B14" s="71"/>
      <c r="C14" s="72"/>
      <c r="D14" s="72"/>
      <c r="E14" s="73"/>
      <c r="F14" s="76"/>
    </row>
    <row r="15" spans="2:7" s="67" customFormat="1" ht="18.75" customHeight="1">
      <c r="B15" s="71"/>
      <c r="C15" s="72"/>
      <c r="D15" s="72"/>
      <c r="E15" s="73"/>
      <c r="F15" s="73"/>
    </row>
    <row r="16" spans="2:7" s="67" customFormat="1" ht="18.75" customHeight="1">
      <c r="B16" s="71"/>
      <c r="C16" s="72"/>
      <c r="D16" s="72"/>
      <c r="E16" s="73"/>
      <c r="F16" s="73"/>
    </row>
    <row r="17" spans="2:6" s="67" customFormat="1" ht="18.75" customHeight="1">
      <c r="B17" s="71"/>
      <c r="C17" s="72"/>
      <c r="D17" s="72"/>
      <c r="E17" s="73"/>
      <c r="F17" s="73"/>
    </row>
    <row r="18" spans="2:6" s="67" customFormat="1" ht="18.75" customHeight="1">
      <c r="B18" s="71"/>
      <c r="C18" s="72"/>
      <c r="D18" s="72"/>
      <c r="E18" s="73"/>
      <c r="F18" s="73"/>
    </row>
    <row r="19" spans="2:6" s="67" customFormat="1" ht="18.75" customHeight="1">
      <c r="B19" s="71"/>
      <c r="C19" s="72"/>
      <c r="D19" s="72"/>
      <c r="E19" s="73"/>
      <c r="F19" s="73"/>
    </row>
    <row r="20" spans="2:6" s="67" customFormat="1" ht="18.75" customHeight="1">
      <c r="B20" s="71"/>
      <c r="C20" s="72"/>
      <c r="D20" s="72"/>
      <c r="E20" s="73"/>
      <c r="F20" s="73"/>
    </row>
    <row r="21" spans="2:6" s="67" customFormat="1" ht="18.75" customHeight="1">
      <c r="B21" s="71"/>
      <c r="C21" s="72"/>
      <c r="D21" s="72"/>
      <c r="E21" s="73"/>
      <c r="F21" s="73"/>
    </row>
    <row r="22" spans="2:6" s="67" customFormat="1" ht="18.75" customHeight="1">
      <c r="B22" s="74"/>
      <c r="C22" s="72"/>
      <c r="D22" s="72"/>
      <c r="E22" s="73"/>
      <c r="F22" s="73"/>
    </row>
    <row r="23" spans="2:6" s="67" customFormat="1" ht="18.75" customHeight="1">
      <c r="B23" s="74"/>
      <c r="C23" s="72"/>
      <c r="D23" s="72"/>
      <c r="E23" s="73"/>
      <c r="F23" s="73"/>
    </row>
    <row r="24" spans="2:6" s="67" customFormat="1" ht="18.75" customHeight="1">
      <c r="B24" s="74"/>
      <c r="C24" s="72"/>
      <c r="D24" s="72"/>
      <c r="E24" s="73"/>
      <c r="F24" s="73"/>
    </row>
    <row r="25" spans="2:6" s="67" customFormat="1" ht="18.75" customHeight="1">
      <c r="B25" s="74"/>
      <c r="C25" s="72"/>
      <c r="D25" s="72"/>
      <c r="E25" s="73"/>
      <c r="F25" s="73"/>
    </row>
    <row r="26" spans="2:6" s="67" customFormat="1" ht="18.75" customHeight="1">
      <c r="B26" s="74"/>
      <c r="C26" s="72"/>
      <c r="D26" s="72"/>
      <c r="E26" s="73"/>
      <c r="F26" s="73"/>
    </row>
    <row r="27" spans="2:6" s="67" customFormat="1" ht="18.75" customHeight="1">
      <c r="B27" s="74"/>
      <c r="C27" s="72"/>
      <c r="D27" s="72"/>
      <c r="E27" s="73"/>
      <c r="F27" s="73"/>
    </row>
    <row r="28" spans="2:6" s="67" customFormat="1" ht="18.75" customHeight="1">
      <c r="B28" s="74"/>
      <c r="C28" s="72"/>
      <c r="D28" s="72"/>
      <c r="E28" s="73"/>
      <c r="F28" s="73"/>
    </row>
    <row r="29" spans="2:6" s="67" customFormat="1" ht="18.75" customHeight="1">
      <c r="B29" s="74"/>
      <c r="C29" s="72"/>
      <c r="D29" s="72"/>
      <c r="E29" s="73"/>
      <c r="F29" s="73"/>
    </row>
    <row r="30" spans="2:6" s="67" customFormat="1" ht="18.75" customHeight="1">
      <c r="B30" s="74"/>
      <c r="C30" s="72"/>
      <c r="D30" s="72"/>
      <c r="E30" s="73"/>
      <c r="F30" s="73"/>
    </row>
    <row r="31" spans="2:6" s="67" customFormat="1" ht="18.75" customHeight="1">
      <c r="B31" s="74"/>
      <c r="C31" s="72"/>
      <c r="D31" s="72"/>
      <c r="E31" s="73"/>
      <c r="F31" s="73"/>
    </row>
    <row r="32" spans="2:6" s="67" customFormat="1" ht="18.75" customHeight="1">
      <c r="B32" s="74"/>
      <c r="C32" s="72"/>
      <c r="D32" s="72"/>
      <c r="E32" s="73"/>
      <c r="F32" s="73"/>
    </row>
    <row r="33" spans="2:6" s="67" customFormat="1" ht="18.75" customHeight="1">
      <c r="B33" s="74"/>
      <c r="C33" s="72"/>
      <c r="D33" s="72"/>
      <c r="E33" s="73"/>
      <c r="F33" s="73"/>
    </row>
    <row r="34" spans="2:6" s="67" customFormat="1" ht="18.75" customHeight="1">
      <c r="B34" s="74"/>
      <c r="C34" s="72"/>
      <c r="D34" s="72"/>
      <c r="E34" s="73"/>
      <c r="F34" s="73"/>
    </row>
    <row r="35" spans="2:6" s="67" customFormat="1" ht="18.75" customHeight="1">
      <c r="B35" s="74"/>
      <c r="C35" s="72"/>
      <c r="D35" s="72"/>
      <c r="E35" s="73"/>
      <c r="F35" s="73"/>
    </row>
    <row r="36" spans="2:6" s="67" customFormat="1" ht="18.75" customHeight="1">
      <c r="B36" s="74"/>
      <c r="C36" s="72"/>
      <c r="D36" s="72"/>
      <c r="E36" s="73"/>
      <c r="F36" s="73"/>
    </row>
    <row r="37" spans="2:6" s="67" customFormat="1" ht="18.75" customHeight="1">
      <c r="B37" s="74"/>
      <c r="C37" s="72"/>
      <c r="D37" s="72"/>
      <c r="E37" s="73"/>
      <c r="F37" s="73"/>
    </row>
    <row r="38" spans="2:6" s="67" customFormat="1" ht="18.75" customHeight="1">
      <c r="B38" s="74"/>
      <c r="C38" s="72"/>
      <c r="D38" s="72"/>
      <c r="E38" s="73"/>
      <c r="F38" s="73"/>
    </row>
    <row r="39" spans="2:6" s="67" customFormat="1" ht="18.75" customHeight="1">
      <c r="B39" s="74"/>
      <c r="C39" s="72"/>
      <c r="D39" s="72"/>
      <c r="E39" s="73"/>
      <c r="F39" s="73"/>
    </row>
    <row r="40" spans="2:6" s="67" customFormat="1" ht="18.75" customHeight="1">
      <c r="B40" s="74"/>
      <c r="C40" s="72"/>
      <c r="D40" s="72"/>
      <c r="E40" s="73"/>
      <c r="F40" s="73"/>
    </row>
    <row r="41" spans="2:6" s="67" customFormat="1" ht="18.75" customHeight="1">
      <c r="B41" s="74"/>
      <c r="C41" s="72"/>
      <c r="D41" s="72"/>
      <c r="E41" s="73"/>
      <c r="F41" s="73"/>
    </row>
    <row r="42" spans="2:6" s="67" customFormat="1" ht="18.75" customHeight="1">
      <c r="B42" s="74"/>
      <c r="C42" s="72"/>
      <c r="D42" s="72"/>
      <c r="E42" s="73"/>
      <c r="F42" s="73"/>
    </row>
    <row r="43" spans="2:6" s="67" customFormat="1" ht="18.75" customHeight="1">
      <c r="B43" s="74"/>
      <c r="C43" s="72"/>
      <c r="D43" s="72"/>
      <c r="E43" s="73"/>
      <c r="F43" s="73"/>
    </row>
    <row r="44" spans="2:6" s="67" customFormat="1" ht="18.75" customHeight="1">
      <c r="B44" s="74"/>
      <c r="C44" s="72"/>
      <c r="D44" s="72"/>
      <c r="E44" s="73"/>
      <c r="F44" s="73"/>
    </row>
    <row r="45" spans="2:6" s="67" customFormat="1" ht="18.75" customHeight="1">
      <c r="B45" s="74"/>
      <c r="C45" s="72"/>
      <c r="D45" s="72"/>
      <c r="E45" s="73"/>
      <c r="F45" s="73"/>
    </row>
    <row r="46" spans="2:6" s="67" customFormat="1" ht="18.75" customHeight="1">
      <c r="B46" s="74"/>
      <c r="C46" s="72"/>
      <c r="D46" s="72"/>
      <c r="E46" s="73"/>
      <c r="F46" s="73"/>
    </row>
    <row r="47" spans="2:6" s="67" customFormat="1" ht="18.75" customHeight="1">
      <c r="B47" s="74"/>
      <c r="C47" s="72"/>
      <c r="D47" s="72"/>
      <c r="E47" s="73"/>
      <c r="F47" s="73"/>
    </row>
    <row r="48" spans="2:6" s="67" customFormat="1" ht="18.75" customHeight="1">
      <c r="B48" s="74"/>
      <c r="C48" s="72"/>
      <c r="D48" s="72"/>
      <c r="E48" s="73"/>
      <c r="F48" s="73"/>
    </row>
    <row r="49" spans="2:6" s="67" customFormat="1" ht="18.75" customHeight="1">
      <c r="B49" s="74"/>
      <c r="C49" s="72"/>
      <c r="D49" s="72"/>
      <c r="E49" s="73"/>
      <c r="F49" s="73"/>
    </row>
    <row r="50" spans="2:6" s="67" customFormat="1" ht="18.75" customHeight="1">
      <c r="B50" s="74"/>
      <c r="C50" s="72"/>
      <c r="D50" s="72"/>
      <c r="E50" s="73"/>
      <c r="F50" s="73"/>
    </row>
    <row r="51" spans="2:6" s="67" customFormat="1" ht="18.75" customHeight="1">
      <c r="B51" s="74"/>
      <c r="C51" s="72"/>
      <c r="D51" s="72"/>
      <c r="E51" s="73"/>
      <c r="F51" s="73"/>
    </row>
    <row r="52" spans="2:6" s="67" customFormat="1" ht="18.75" customHeight="1">
      <c r="B52" s="74"/>
      <c r="C52" s="72"/>
      <c r="D52" s="72"/>
      <c r="E52" s="73"/>
      <c r="F52" s="73"/>
    </row>
    <row r="53" spans="2:6" s="67" customFormat="1" ht="18.75" customHeight="1">
      <c r="B53" s="74"/>
      <c r="C53" s="72"/>
      <c r="D53" s="72"/>
      <c r="E53" s="73"/>
      <c r="F53" s="73"/>
    </row>
    <row r="54" spans="2:6" s="67" customFormat="1" ht="18.75" customHeight="1">
      <c r="B54" s="74"/>
      <c r="C54" s="72"/>
      <c r="D54" s="72"/>
      <c r="E54" s="73"/>
      <c r="F54" s="73"/>
    </row>
    <row r="55" spans="2:6" s="67" customFormat="1" ht="18.75" customHeight="1">
      <c r="B55" s="74"/>
      <c r="C55" s="72"/>
      <c r="D55" s="72"/>
      <c r="E55" s="73"/>
      <c r="F55" s="73"/>
    </row>
    <row r="56" spans="2:6" s="67" customFormat="1" ht="18.75" customHeight="1">
      <c r="B56" s="74"/>
      <c r="C56" s="72"/>
      <c r="D56" s="72"/>
      <c r="E56" s="73"/>
      <c r="F56" s="73"/>
    </row>
    <row r="57" spans="2:6" s="67" customFormat="1" ht="18.75" customHeight="1">
      <c r="B57" s="72"/>
      <c r="C57" s="72"/>
      <c r="D57" s="72"/>
      <c r="E57" s="73"/>
      <c r="F57" s="73"/>
    </row>
    <row r="58" spans="2:6" s="67" customFormat="1" ht="18.75" customHeight="1">
      <c r="B58" s="72"/>
      <c r="C58" s="72"/>
      <c r="D58" s="72"/>
      <c r="E58" s="73"/>
      <c r="F58" s="73"/>
    </row>
    <row r="59" spans="2:6" s="67" customFormat="1" ht="18.75" customHeight="1">
      <c r="B59" s="72"/>
      <c r="C59" s="72"/>
      <c r="D59" s="72"/>
      <c r="E59" s="73"/>
      <c r="F59" s="73"/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ファイル命名規則</vt:lpstr>
      <vt:lpstr>要件定義（手入力 メタデータ項目リスト）</vt:lpstr>
      <vt:lpstr>要件定義（構造化 メタデータ項目リスト）</vt:lpstr>
      <vt:lpstr>要件定義（構造化詳細）</vt:lpstr>
      <vt:lpstr>要件定義（設定ファイル）</vt:lpstr>
      <vt:lpstr>改版履歴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sasajimakumiko</dc:creator>
  <cp:lastModifiedBy>基盤 nims</cp:lastModifiedBy>
  <dcterms:created xsi:type="dcterms:W3CDTF">2025-10-31T02:00:22Z</dcterms:created>
  <dcterms:modified xsi:type="dcterms:W3CDTF">2026-05-26T05:13:32Z</dcterms:modified>
</cp:coreProperties>
</file>